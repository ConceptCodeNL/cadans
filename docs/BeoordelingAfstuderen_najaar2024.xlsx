
<file path=[Content_Types].xml><?xml version="1.0" encoding="utf-8"?>
<Types xmlns="http://schemas.openxmlformats.org/package/2006/content-types">
  <Default Extension="bin" ContentType="application/vnd.openxmlformats-officedocument.spreadsheetml.printerSetting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calcChain.xml" ContentType="application/vnd.openxmlformats-officedocument.spreadsheetml.calcChain+xml"/>
  <Override PartName="/customXml/itemProps1.xml" ContentType="application/vnd.openxmlformats-officedocument.customXmlProperties+xml"/>
  <Override PartName="/customXml/itemProps2.xml" ContentType="application/vnd.openxmlformats-officedocument.customXmlProperties+xml"/>
  <Override PartName="/customXml/itemProps3.xml" ContentType="application/vnd.openxmlformats-officedocument.customXmlProperties+xml"/>
  <Override PartName="/customXml/itemProps4.xml" ContentType="application/vnd.openxmlformats-officedocument.customXmlProperties+xml"/>
  <Override PartName="/docProps/core.xml" ContentType="application/vnd.openxmlformats-package.core-properties+xml"/>
  <Override PartName="/docProps/app.xml" ContentType="application/vnd.openxmlformats-officedocument.extended-properties+xml"/>
  <Override PartName="/docProps/custom.xml" ContentType="application/vnd.openxmlformats-officedocument.custom-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 Id="rId4" Type="http://schemas.openxmlformats.org/officeDocument/2006/relationships/custom-properties" Target="docProps/custom.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10201"/>
  <workbookPr defaultThemeVersion="166925"/>
  <mc:AlternateContent xmlns:mc="http://schemas.openxmlformats.org/markup-compatibility/2006">
    <mc:Choice Requires="x15">
      <x15ac:absPath xmlns:x15ac="http://schemas.microsoft.com/office/spreadsheetml/2010/11/ac" url="/Users/s.vandockum/Desktop/"/>
    </mc:Choice>
  </mc:AlternateContent>
  <xr:revisionPtr revIDLastSave="0" documentId="13_ncr:1_{17D128CF-73BA-384C-95DF-CFFE4664CEEA}" xr6:coauthVersionLast="47" xr6:coauthVersionMax="47" xr10:uidLastSave="{00000000-0000-0000-0000-000000000000}"/>
  <bookViews>
    <workbookView xWindow="1140" yWindow="780" windowWidth="33060" windowHeight="21460" tabRatio="663" activeTab="2" xr2:uid="{948DDACE-838F-4833-A1EB-17448D378524}"/>
  </bookViews>
  <sheets>
    <sheet name="Data" sheetId="1" r:id="rId1"/>
    <sheet name="Competenties" sheetId="18" r:id="rId2"/>
    <sheet name="Feedback bedrijfsbegeleider" sheetId="20" r:id="rId3"/>
    <sheet name="Feedback docent" sheetId="13" r:id="rId4"/>
    <sheet name="Afstuderen Eind" sheetId="19" r:id="rId5"/>
  </sheets>
  <definedNames>
    <definedName name="TAAL">Data!$B$4</definedName>
  </definedNames>
  <calcPr calcId="191028"/>
  <extLs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calcChain.xml><?xml version="1.0" encoding="utf-8"?>
<calcChain xmlns="http://schemas.openxmlformats.org/spreadsheetml/2006/main">
  <c r="I22" i="19" l="1"/>
  <c r="I21" i="19"/>
  <c r="I20" i="19"/>
  <c r="I19" i="19"/>
  <c r="I18" i="19"/>
  <c r="C22" i="19"/>
  <c r="C21" i="19"/>
  <c r="C20" i="19"/>
  <c r="C19" i="19"/>
  <c r="C18" i="19"/>
  <c r="H10" i="20"/>
  <c r="H10" i="13"/>
  <c r="M44" i="20"/>
  <c r="L44" i="20"/>
  <c r="K44" i="20"/>
  <c r="I44" i="20"/>
  <c r="H44" i="20"/>
  <c r="G44" i="20"/>
  <c r="F44" i="20"/>
  <c r="E44" i="20"/>
  <c r="D44" i="20"/>
  <c r="C44" i="20"/>
  <c r="B44" i="20"/>
  <c r="M42" i="20"/>
  <c r="L42" i="20"/>
  <c r="K42" i="20"/>
  <c r="I42" i="20"/>
  <c r="H42" i="20"/>
  <c r="G42" i="20"/>
  <c r="F42" i="20"/>
  <c r="E42" i="20"/>
  <c r="D42" i="20"/>
  <c r="C42" i="20"/>
  <c r="B42" i="20"/>
  <c r="A41" i="20"/>
  <c r="K40" i="20"/>
  <c r="H40" i="20"/>
  <c r="F40" i="20"/>
  <c r="D40" i="20"/>
  <c r="B40" i="20"/>
  <c r="A40" i="20"/>
  <c r="M38" i="20"/>
  <c r="L38" i="20"/>
  <c r="K38" i="20"/>
  <c r="I38" i="20"/>
  <c r="H38" i="20"/>
  <c r="G38" i="20"/>
  <c r="F38" i="20"/>
  <c r="E38" i="20"/>
  <c r="D38" i="20"/>
  <c r="C38" i="20"/>
  <c r="B38" i="20"/>
  <c r="M36" i="20"/>
  <c r="L36" i="20"/>
  <c r="K36" i="20"/>
  <c r="I36" i="20"/>
  <c r="H36" i="20"/>
  <c r="G36" i="20"/>
  <c r="F36" i="20"/>
  <c r="E36" i="20"/>
  <c r="D36" i="20"/>
  <c r="C36" i="20"/>
  <c r="B36" i="20"/>
  <c r="A35" i="20"/>
  <c r="K34" i="20"/>
  <c r="H34" i="20"/>
  <c r="F34" i="20"/>
  <c r="D34" i="20"/>
  <c r="B34" i="20"/>
  <c r="A34" i="20"/>
  <c r="M32" i="20"/>
  <c r="L32" i="20"/>
  <c r="K32" i="20"/>
  <c r="I32" i="20"/>
  <c r="H32" i="20"/>
  <c r="G32" i="20"/>
  <c r="F32" i="20"/>
  <c r="E32" i="20"/>
  <c r="D32" i="20"/>
  <c r="C32" i="20"/>
  <c r="B32" i="20"/>
  <c r="M30" i="20"/>
  <c r="L30" i="20"/>
  <c r="K30" i="20"/>
  <c r="I30" i="20"/>
  <c r="H30" i="20"/>
  <c r="G30" i="20"/>
  <c r="F30" i="20"/>
  <c r="E30" i="20"/>
  <c r="D30" i="20"/>
  <c r="C30" i="20"/>
  <c r="B30" i="20"/>
  <c r="A29" i="20"/>
  <c r="K28" i="20"/>
  <c r="H28" i="20"/>
  <c r="F28" i="20"/>
  <c r="D28" i="20"/>
  <c r="B28" i="20"/>
  <c r="A28" i="20"/>
  <c r="M26" i="20"/>
  <c r="L26" i="20"/>
  <c r="K26" i="20"/>
  <c r="I26" i="20"/>
  <c r="H26" i="20"/>
  <c r="G26" i="20"/>
  <c r="F26" i="20"/>
  <c r="E26" i="20"/>
  <c r="D26" i="20"/>
  <c r="C26" i="20"/>
  <c r="B26" i="20"/>
  <c r="M24" i="20"/>
  <c r="L24" i="20"/>
  <c r="K24" i="20"/>
  <c r="I24" i="20"/>
  <c r="H24" i="20"/>
  <c r="G24" i="20"/>
  <c r="F24" i="20"/>
  <c r="E24" i="20"/>
  <c r="D24" i="20"/>
  <c r="C24" i="20"/>
  <c r="B24" i="20"/>
  <c r="A23" i="20"/>
  <c r="K22" i="20"/>
  <c r="H22" i="20"/>
  <c r="F22" i="20"/>
  <c r="D22" i="20"/>
  <c r="B22" i="20"/>
  <c r="A22" i="20"/>
  <c r="M20" i="20"/>
  <c r="L20" i="20"/>
  <c r="K20" i="20"/>
  <c r="I20" i="20"/>
  <c r="H20" i="20"/>
  <c r="G20" i="20"/>
  <c r="F20" i="20"/>
  <c r="E20" i="20"/>
  <c r="D20" i="20"/>
  <c r="C20" i="20"/>
  <c r="B20" i="20"/>
  <c r="M18" i="20"/>
  <c r="L18" i="20"/>
  <c r="K18" i="20"/>
  <c r="I18" i="20"/>
  <c r="H18" i="20"/>
  <c r="G18" i="20"/>
  <c r="F18" i="20"/>
  <c r="E18" i="20"/>
  <c r="D18" i="20"/>
  <c r="C18" i="20"/>
  <c r="B18" i="20"/>
  <c r="A17" i="20"/>
  <c r="K16" i="20"/>
  <c r="H16" i="20"/>
  <c r="F16" i="20"/>
  <c r="D16" i="20"/>
  <c r="B16" i="20"/>
  <c r="A16" i="20"/>
  <c r="K14" i="20"/>
  <c r="H14" i="20"/>
  <c r="F14" i="20"/>
  <c r="D14" i="20"/>
  <c r="B14" i="20"/>
  <c r="K12" i="20"/>
  <c r="H12" i="20"/>
  <c r="F12" i="20"/>
  <c r="D12" i="20"/>
  <c r="B12" i="20"/>
  <c r="B9" i="20"/>
  <c r="B8" i="20"/>
  <c r="B7" i="20"/>
  <c r="B6" i="20"/>
  <c r="B5" i="20"/>
  <c r="C4" i="20"/>
  <c r="B4" i="20"/>
  <c r="C3" i="20"/>
  <c r="B3" i="20"/>
  <c r="B2" i="20"/>
  <c r="A2" i="20"/>
  <c r="J10" i="13"/>
  <c r="H44" i="13"/>
  <c r="H42" i="13"/>
  <c r="H40" i="13"/>
  <c r="H38" i="13"/>
  <c r="H36" i="13"/>
  <c r="H34" i="13"/>
  <c r="H32" i="13"/>
  <c r="H30" i="13"/>
  <c r="H28" i="13"/>
  <c r="H26" i="13"/>
  <c r="H24" i="13"/>
  <c r="H22" i="13"/>
  <c r="H20" i="13"/>
  <c r="H18" i="13"/>
  <c r="H16" i="13"/>
  <c r="H14" i="13"/>
  <c r="H12" i="13"/>
  <c r="G10" i="19"/>
  <c r="G22" i="19"/>
  <c r="G21" i="19"/>
  <c r="G20" i="19"/>
  <c r="G19" i="19"/>
  <c r="G18" i="19"/>
  <c r="A22" i="19"/>
  <c r="A21" i="19"/>
  <c r="A20" i="19"/>
  <c r="A19" i="19"/>
  <c r="A18" i="19"/>
  <c r="A10" i="19"/>
  <c r="M14" i="13"/>
  <c r="M12" i="13"/>
  <c r="J14" i="13"/>
  <c r="J12" i="13"/>
  <c r="F14" i="13"/>
  <c r="F12" i="13"/>
  <c r="D14" i="13"/>
  <c r="D12" i="13"/>
  <c r="B14" i="13"/>
  <c r="B12" i="13"/>
  <c r="O18" i="13"/>
  <c r="O20" i="13"/>
  <c r="O24" i="13"/>
  <c r="O26" i="13"/>
  <c r="O30" i="13"/>
  <c r="O32" i="13"/>
  <c r="O36" i="13"/>
  <c r="O38" i="13"/>
  <c r="O42" i="13"/>
  <c r="O44" i="13"/>
  <c r="K42" i="13"/>
  <c r="K44" i="13"/>
  <c r="K38" i="13"/>
  <c r="K36" i="13"/>
  <c r="K32" i="13"/>
  <c r="K30" i="13"/>
  <c r="K26" i="13"/>
  <c r="K24" i="13"/>
  <c r="K20" i="13"/>
  <c r="K18" i="13"/>
  <c r="N44" i="13"/>
  <c r="M44" i="13"/>
  <c r="N42" i="13"/>
  <c r="M42" i="13"/>
  <c r="M40" i="13"/>
  <c r="N38" i="13"/>
  <c r="M38" i="13"/>
  <c r="N36" i="13"/>
  <c r="M36" i="13"/>
  <c r="M34" i="13"/>
  <c r="N32" i="13"/>
  <c r="M32" i="13"/>
  <c r="N30" i="13"/>
  <c r="M30" i="13"/>
  <c r="M28" i="13"/>
  <c r="N26" i="13"/>
  <c r="M26" i="13"/>
  <c r="N24" i="13"/>
  <c r="M24" i="13"/>
  <c r="M22" i="13"/>
  <c r="N20" i="13"/>
  <c r="M20" i="13"/>
  <c r="N18" i="13"/>
  <c r="M18" i="13"/>
  <c r="M16" i="13"/>
  <c r="J44" i="13"/>
  <c r="J42" i="13"/>
  <c r="J40" i="13"/>
  <c r="J38" i="13"/>
  <c r="J36" i="13"/>
  <c r="J34" i="13"/>
  <c r="J32" i="13"/>
  <c r="J30" i="13"/>
  <c r="J28" i="13"/>
  <c r="J26" i="13"/>
  <c r="J24" i="13"/>
  <c r="J22" i="13"/>
  <c r="J20" i="13"/>
  <c r="J18" i="13"/>
  <c r="J16" i="13"/>
  <c r="G44" i="13"/>
  <c r="F44" i="13"/>
  <c r="G42" i="13"/>
  <c r="F42" i="13"/>
  <c r="F40" i="13"/>
  <c r="G38" i="13"/>
  <c r="F38" i="13"/>
  <c r="G36" i="13"/>
  <c r="F36" i="13"/>
  <c r="F34" i="13"/>
  <c r="G32" i="13"/>
  <c r="F32" i="13"/>
  <c r="G30" i="13"/>
  <c r="F30" i="13"/>
  <c r="F28" i="13"/>
  <c r="G26" i="13"/>
  <c r="F26" i="13"/>
  <c r="G24" i="13"/>
  <c r="F24" i="13"/>
  <c r="F22" i="13"/>
  <c r="G20" i="13"/>
  <c r="F20" i="13"/>
  <c r="G18" i="13"/>
  <c r="F18" i="13"/>
  <c r="F16" i="13"/>
  <c r="E44" i="13"/>
  <c r="D44" i="13"/>
  <c r="E42" i="13"/>
  <c r="D42" i="13"/>
  <c r="D40" i="13"/>
  <c r="E38" i="13"/>
  <c r="D38" i="13"/>
  <c r="E36" i="13"/>
  <c r="D36" i="13"/>
  <c r="D34" i="13"/>
  <c r="E32" i="13"/>
  <c r="D32" i="13"/>
  <c r="E30" i="13"/>
  <c r="D30" i="13"/>
  <c r="D28" i="13"/>
  <c r="E26" i="13"/>
  <c r="D26" i="13"/>
  <c r="E24" i="13"/>
  <c r="D24" i="13"/>
  <c r="D22" i="13"/>
  <c r="E20" i="13"/>
  <c r="D20" i="13"/>
  <c r="E18" i="13"/>
  <c r="D18" i="13"/>
  <c r="D16" i="13"/>
  <c r="C44" i="13"/>
  <c r="C42" i="13"/>
  <c r="C38" i="13"/>
  <c r="C36" i="13"/>
  <c r="C32" i="13"/>
  <c r="C30" i="13"/>
  <c r="C26" i="13"/>
  <c r="C24" i="13"/>
  <c r="C20" i="13"/>
  <c r="C18" i="13"/>
  <c r="B40" i="13"/>
  <c r="B34" i="13"/>
  <c r="B28" i="13"/>
  <c r="B22" i="13"/>
  <c r="B16" i="13"/>
  <c r="A35" i="13"/>
  <c r="A41" i="13"/>
  <c r="A40" i="13"/>
  <c r="A34" i="13"/>
  <c r="A29" i="13"/>
  <c r="A28" i="13"/>
  <c r="A23" i="13"/>
  <c r="A22" i="13"/>
  <c r="A17" i="13"/>
  <c r="A16" i="13"/>
  <c r="J22" i="19" l="1"/>
  <c r="K22" i="19" s="1"/>
  <c r="J21" i="19"/>
  <c r="K21" i="19" s="1"/>
  <c r="J20" i="19"/>
  <c r="K20" i="19" s="1"/>
  <c r="J19" i="19"/>
  <c r="J18" i="19"/>
  <c r="K18" i="19" s="1"/>
  <c r="D22" i="19"/>
  <c r="E22" i="19" s="1"/>
  <c r="D21" i="19"/>
  <c r="E21" i="19" s="1"/>
  <c r="D20" i="19"/>
  <c r="E20" i="19" s="1"/>
  <c r="D19" i="19"/>
  <c r="E19" i="19" s="1"/>
  <c r="D18" i="19"/>
  <c r="E18" i="19" s="1"/>
  <c r="B44" i="13"/>
  <c r="B42" i="13"/>
  <c r="B38" i="13"/>
  <c r="B36" i="13"/>
  <c r="B32" i="13"/>
  <c r="B30" i="13"/>
  <c r="B26" i="13"/>
  <c r="B24" i="13"/>
  <c r="B20" i="13"/>
  <c r="B18" i="13"/>
  <c r="K3" i="19"/>
  <c r="G2" i="19"/>
  <c r="A2" i="19"/>
  <c r="K19" i="19"/>
  <c r="H34" i="19"/>
  <c r="H33" i="19"/>
  <c r="G35" i="19"/>
  <c r="G34" i="19"/>
  <c r="G33" i="19"/>
  <c r="B34" i="19"/>
  <c r="B33" i="19"/>
  <c r="A35" i="19"/>
  <c r="A34" i="19"/>
  <c r="A33" i="19"/>
  <c r="H8" i="19"/>
  <c r="H7" i="19"/>
  <c r="H6" i="19"/>
  <c r="H5" i="19"/>
  <c r="H4" i="19"/>
  <c r="H3" i="19"/>
  <c r="H2" i="19"/>
  <c r="B8" i="19"/>
  <c r="B7" i="19"/>
  <c r="B6" i="19"/>
  <c r="B5" i="19"/>
  <c r="B4" i="19"/>
  <c r="B2" i="19"/>
  <c r="E3" i="19"/>
  <c r="B3" i="19"/>
  <c r="C4" i="13"/>
  <c r="B4" i="13"/>
  <c r="G29" i="19"/>
  <c r="G26" i="19"/>
  <c r="G23" i="19"/>
  <c r="G11" i="19"/>
  <c r="K24" i="19" l="1"/>
  <c r="E24" i="19"/>
  <c r="B9" i="13"/>
  <c r="B8" i="13"/>
  <c r="B7" i="13"/>
  <c r="B6" i="13"/>
  <c r="B5" i="13"/>
  <c r="A2" i="13" l="1"/>
  <c r="B2" i="13"/>
  <c r="B3" i="13"/>
  <c r="C3" i="13"/>
</calcChain>
</file>

<file path=xl/sharedStrings.xml><?xml version="1.0" encoding="utf-8"?>
<sst xmlns="http://schemas.openxmlformats.org/spreadsheetml/2006/main" count="377" uniqueCount="168">
  <si>
    <t>Gegevens</t>
  </si>
  <si>
    <t>invulinstructie: gele/gouden cellen hieronder invullen of aanpassen</t>
  </si>
  <si>
    <t>HBO opleiding</t>
  </si>
  <si>
    <t>Informatica (SO)</t>
  </si>
  <si>
    <t>Traject</t>
  </si>
  <si>
    <t>Afstuderen</t>
  </si>
  <si>
    <t>Periode</t>
  </si>
  <si>
    <t>Naam Student 1</t>
  </si>
  <si>
    <t>Studentnummer student 1</t>
  </si>
  <si>
    <t>Bedrijfsnaam</t>
  </si>
  <si>
    <t>Bedrijfsbegeleider</t>
  </si>
  <si>
    <t>Titel Opdracht</t>
  </si>
  <si>
    <t>Docent-begeleider</t>
  </si>
  <si>
    <t>2de docent</t>
  </si>
  <si>
    <t>Extern gecommiteerde</t>
  </si>
  <si>
    <t>&gt;&gt;&gt; Hieronder hoef je niets aan te passen! &lt;&lt;&lt;</t>
  </si>
  <si>
    <t>JA/NEE</t>
  </si>
  <si>
    <t>MAJOR</t>
  </si>
  <si>
    <t>TRAJECT</t>
  </si>
  <si>
    <t>PERIODE</t>
  </si>
  <si>
    <t>JA</t>
  </si>
  <si>
    <t>Stage</t>
  </si>
  <si>
    <t>NEE</t>
  </si>
  <si>
    <t>OORDEEL TUSSENBEOORDELING</t>
  </si>
  <si>
    <t>OORDEEL &amp; CIJFER EINDBEOORDELING</t>
  </si>
  <si>
    <t>RUWE NORMERING</t>
  </si>
  <si>
    <t>Uitmuntend</t>
  </si>
  <si>
    <t>Zeer goed</t>
  </si>
  <si>
    <t>Aan alle criteria wordt voldaan en deze zijn uitgebreid uitgewerkt en onderbouwd</t>
  </si>
  <si>
    <t>Goed</t>
  </si>
  <si>
    <t>NORM (Ruim voldoende)</t>
  </si>
  <si>
    <t>Aan alle criteria wordt voldaan</t>
  </si>
  <si>
    <t>Voldoende</t>
  </si>
  <si>
    <t>Bijna voldoende</t>
  </si>
  <si>
    <t>Aan enkele criteria wordt niet voldaan</t>
  </si>
  <si>
    <t>Onvoldoende</t>
  </si>
  <si>
    <t>Zeer onvoldoende</t>
  </si>
  <si>
    <t>Slecht</t>
  </si>
  <si>
    <t>Zeer slecht / niet beoordeelbaar</t>
  </si>
  <si>
    <t>Competenties</t>
  </si>
  <si>
    <t>Competentie</t>
  </si>
  <si>
    <t>Beschrijving criteria</t>
  </si>
  <si>
    <t>Competentie 1: 
Planmatig werken</t>
  </si>
  <si>
    <t>WAT &amp; WAAROM
•	Student geeft de context van de opdracht aan, waarbij probleem en/of aanleiding, doel, stakeholders en scope duidelijk worden
•	Student beschrijft de beoogde deliverables (producten, handelingen) van de opdracht
•	Student neemt hierbij (zoals stakeholders, deliverables) zowel school als bedrijf mee, in de juiste balans.
HOE
•	Student bepaalt fasen en activiteiten bij de opdracht, verwerkt deze in een realistische planning, en bepaalt relevante risico’s en bijpassende maatregelen 
•	Student onderbouwt de gekozen aanpak (methoden &amp; technieken), welke past bij doel en context van de opdracht
•	Student werkt volgens het PvA en wijkt hier in overleg vanaf waar nodig.
MATE VAN ZELFSTANDIGHEID
•	Student(en) komt/komen zelfstandig tot een bruikbaar (samenhangend, volledig en van voldoende kwaliteit) Plan van Aanpak.</t>
  </si>
  <si>
    <t>Competentie 2: 
Probleem-oplossend vermogen, leveren van beroepsprestaties</t>
  </si>
  <si>
    <t>EISEN
•	Student formuleert vooraf heldere eisen aan de deliverables, welke aansluiten bij de behoeften van de opdrachtgever/klant
UITVOEREN
•	Student realiseert de benodigde deliverables conform die eisen en verwachtingen
•	Student onderbouwt de keuzes gemaakt tijdens het realiseren van die deliverables
•	Student borgt de kwaliteit van de deliverables door passende tests, controles, validaties
OVERDRACHT
•	Student zorgt er middels implementatie/overdrachts-activiteiten voor dat de opdrachtgever daadwerkelijk succes kan hebben met de geleverde resultaten
•	Student heeft een tevreden opdrachtgever
MATE VAN ZELFSTANDIGHEID
•	Student(en) heeft/hebben hierin zelfstandig gewerkt.</t>
  </si>
  <si>
    <t>Competentie 3: 
Onderzoekend vermogen</t>
  </si>
  <si>
    <t>ONDERZOEKEN
•	Student bepaalt een relevante hoofdvraag/probleemstelling
•	Student voert op systematische wijze onderzoek uit (denk aan: construeren logische set onderzoeksvragen, kiezen van passende onderzoeksmethoden, triangulatie, etc.)
•	Student verzamelt en analyseert ontbrekende informatie uit diverse bronnen
KRITISCH DENKEN
•	Student gebruikt hierbij (wetenschappelijke) inzichten van anderen, oriënteert zich breed en is kritisch op gebruikte bronnen
•	Student overweegt alternatieven en onderbouwt keuzes door middel van onafhankelijke/objectieve informatie en logische redenering
MATE VAN ZELFSTANDIGHEID
•	Student(en) heeft/hebben hierin zelfstandig gewerkt.</t>
  </si>
  <si>
    <t>Competentie 4: 
Samenwerken &amp; communiceren</t>
  </si>
  <si>
    <t>PROACTIEVE HOUDING
•	Student stemt proactief af met de relevante stakeholders, waaronder in elk geval de opdrachtgever, bedrijfsbegeleider en docent-begeleider. Daaronder valt in ieder geval het op de hoogte houden van de voortgang.
MONDELING
•	Student laat goede mondelinge communicatievaardigheden zien, in bijvoorbeeld gesprekken en presentaties
SCHRIFTELIJK
•	Student laat goede schriftelijke communicatievaardigheden zien (goed gestructureerd, taalgebruik is verzorgd, en voldoende passend bij de doelgroep)</t>
  </si>
  <si>
    <t>Competentie 5: 
Professionele houding</t>
  </si>
  <si>
    <t>PROFESSIONEEL WERKNEMER/OPDRACHTNEMER
•	Student functioneert als beginnend professional in de organisatie
•	Student toont eigenaarschap voor de opdracht en neemt initiatief om de opdracht succesvol te voltooien
MAATSCHAPPELIJKE VERANTWOORDELIJKHEID
•	Student houdt bij het uitvoeren van de opdracht expliciet rekening met de impact op anderen (denk aan: de maatschappij, milieu/planeet, privacy/security, etc.).
ZELFSTURING
•	Student heeft inzicht in eigen competenties en handelen (zelfreflectie)
•	Student toont eigenaarschap van de persoonlijke ontwikkeling door onderbouwde keuzes te maken
•	Student gaat professioneel en effectief om met (on)gevraagde feedback</t>
  </si>
  <si>
    <t>invulinstructie: vul de witte cellen in, 
maak waar van toepassing onderscheid tussen de studenten 
(gebruik ALT+Enter voor nieuwe tekstregel binnen de cel)</t>
  </si>
  <si>
    <t>Student 1 (naam &amp; studentnummer)</t>
  </si>
  <si>
    <t>Titel opdracht</t>
  </si>
  <si>
    <t>Naam bedrijfsbegeleider</t>
  </si>
  <si>
    <t>Naam docent-begeleider</t>
  </si>
  <si>
    <t>Naam 2de docent (voorzitter)</t>
  </si>
  <si>
    <t>Naam extern gecommitteerde</t>
  </si>
  <si>
    <t>FASE 1</t>
  </si>
  <si>
    <t>FASE 2</t>
  </si>
  <si>
    <t>FASE 3</t>
  </si>
  <si>
    <t>HERKANSING</t>
  </si>
  <si>
    <t>Datum (van invullen)</t>
  </si>
  <si>
    <t>Opgeleverde producten</t>
  </si>
  <si>
    <t>Motivatie en toelichting</t>
  </si>
  <si>
    <t>Oordeel</t>
  </si>
  <si>
    <t>Gemaakte afspraken</t>
  </si>
  <si>
    <t>Verplicht indien eindoordeel onvoldoende.</t>
  </si>
  <si>
    <t>Verdediging</t>
  </si>
  <si>
    <t>Bijzonderheden</t>
  </si>
  <si>
    <t>najaar 2024</t>
  </si>
  <si>
    <t>voorjaar 2025</t>
  </si>
  <si>
    <t>Eindbeoordeling Afstudeerzitting</t>
  </si>
  <si>
    <t>invulinstructie: vul de witte cellen in</t>
  </si>
  <si>
    <t>Student 2 (naam &amp; studentnummer)</t>
  </si>
  <si>
    <t>Datum</t>
  </si>
  <si>
    <t>Bijzondere omstandigheden</t>
  </si>
  <si>
    <t>Spelen/speelden er bijzondere omstandigheden, waarmee rekening gehouden dient te worden tijdens de afstudeerzitting of de beoordeling?</t>
  </si>
  <si>
    <t>Feedback op verdediging. Denk aan zelfverzekerheid, kwaliteit van de antwoorden, aansluiten bij je publiek.</t>
  </si>
  <si>
    <t>Beoordeling</t>
  </si>
  <si>
    <r>
      <t xml:space="preserve">Competenties
</t>
    </r>
    <r>
      <rPr>
        <sz val="12"/>
        <color theme="1"/>
        <rFont val="Calibri"/>
        <family val="2"/>
        <scheme val="minor"/>
      </rPr>
      <t>Alle compenties dienen voldoende te zijn om te kunnen slagen. Indien er één of meerdere competenties onvoldoende zijn, dan vul je bij de 'Totaal beoordeling' een 5,0 in.</t>
    </r>
  </si>
  <si>
    <t>Verdediging tijdens zitting</t>
  </si>
  <si>
    <r>
      <t xml:space="preserve">Totaal beoordeling </t>
    </r>
    <r>
      <rPr>
        <i/>
        <sz val="11"/>
        <color theme="0"/>
        <rFont val="Calibri"/>
        <family val="2"/>
        <scheme val="minor"/>
      </rPr>
      <t>(competentie 2 telt dubbel mee. Eindcijfer afronden op halve cijfer)</t>
    </r>
    <r>
      <rPr>
        <b/>
        <sz val="14"/>
        <color theme="0"/>
        <rFont val="Calibri"/>
        <family val="2"/>
        <scheme val="minor"/>
      </rPr>
      <t xml:space="preserve"> </t>
    </r>
  </si>
  <si>
    <r>
      <t xml:space="preserve">Totaal beoordeling </t>
    </r>
    <r>
      <rPr>
        <i/>
        <sz val="11"/>
        <color theme="0"/>
        <rFont val="Calibri"/>
        <family val="2"/>
        <scheme val="minor"/>
      </rPr>
      <t>(competentie 2 telt dubbel mee. Eindcijfer afronden op halve cijfer)</t>
    </r>
  </si>
  <si>
    <t>Verplicht indien eindoordeel van een of meer onderdelen afwijkt van voorlopige beoordeling docent-begeleider, n.a.v. voorbespreking en/of presentatie&amp;verdediging door de student. 
Ook kunnen hier de belangrijkste commentaren van de 2de lezer en de extern gecommitteerde genoteerd worden.</t>
  </si>
  <si>
    <t>Ondertekening</t>
  </si>
  <si>
    <t>Student tekent voor gezien.</t>
  </si>
  <si>
    <t>Naam Student 2</t>
  </si>
  <si>
    <t>Studentnummer student 2</t>
  </si>
  <si>
    <t>VOORAF</t>
  </si>
  <si>
    <t>FASE 5/6</t>
  </si>
  <si>
    <t>nummer 1</t>
  </si>
  <si>
    <t>nummer 2</t>
  </si>
  <si>
    <t>bedrijfsnaam</t>
  </si>
  <si>
    <t>begeleider bedrijf</t>
  </si>
  <si>
    <t>opdr titel</t>
  </si>
  <si>
    <t>docent 1</t>
  </si>
  <si>
    <t>docent 2</t>
  </si>
  <si>
    <t>externe</t>
  </si>
  <si>
    <r>
      <rPr>
        <b/>
        <sz val="16"/>
        <rFont val="Calibri"/>
        <family val="2"/>
        <scheme val="minor"/>
      </rPr>
      <t xml:space="preserve">Eindoordeel </t>
    </r>
    <r>
      <rPr>
        <sz val="11"/>
        <rFont val="Calibri"/>
        <family val="2"/>
        <scheme val="minor"/>
      </rPr>
      <t xml:space="preserve">
</t>
    </r>
    <r>
      <rPr>
        <i/>
        <sz val="11"/>
        <rFont val="Calibri"/>
        <family val="2"/>
        <scheme val="minor"/>
      </rPr>
      <t>(default Eind Docent in wit, pas waar nodig aan o.b.v. zitting)</t>
    </r>
  </si>
  <si>
    <t>Voorlopige beoordeling docent</t>
  </si>
  <si>
    <t>Feedback tijdens fasegesprekken</t>
  </si>
  <si>
    <t>...noteer hier de belangrijkste feedback voor beide studenten</t>
  </si>
  <si>
    <t>...noteer hier de belangrijkste feedback de eerste student</t>
  </si>
  <si>
    <t>...noteer hier de belangrijkste feedback voor de tweede student</t>
  </si>
  <si>
    <t>...noteer hier de belangrijkste feedback voor de eerste student</t>
  </si>
  <si>
    <t>Excellent</t>
  </si>
  <si>
    <t>Very good</t>
  </si>
  <si>
    <t>Good</t>
  </si>
  <si>
    <t>Standard (More than sufficient)</t>
  </si>
  <si>
    <t>Sufficient</t>
  </si>
  <si>
    <t>Almost sufficient</t>
  </si>
  <si>
    <t>Insufficient</t>
  </si>
  <si>
    <t>Very unsatisfactory</t>
  </si>
  <si>
    <t>Bad</t>
  </si>
  <si>
    <t>Very bad / not assessable</t>
  </si>
  <si>
    <t>Preliminary Evaluation</t>
  </si>
  <si>
    <t>TAAL</t>
  </si>
  <si>
    <t>Nederlands</t>
  </si>
  <si>
    <t>Engels</t>
  </si>
  <si>
    <t>KOPJES / HEADINGS</t>
  </si>
  <si>
    <t>Special circumstances</t>
  </si>
  <si>
    <t>Explanation and motivation</t>
  </si>
  <si>
    <t>Grade</t>
  </si>
  <si>
    <t>Beoordelingsprognose</t>
  </si>
  <si>
    <t>Preliminary evaluation</t>
  </si>
  <si>
    <t>What to do?</t>
  </si>
  <si>
    <t>Taal</t>
  </si>
  <si>
    <r>
      <t xml:space="preserve">&gt;    vul in </t>
    </r>
    <r>
      <rPr>
        <b/>
        <i/>
        <sz val="11"/>
        <color theme="1"/>
        <rFont val="Calibri"/>
        <family val="2"/>
        <scheme val="minor"/>
      </rPr>
      <t>n.v.t.</t>
    </r>
    <r>
      <rPr>
        <i/>
        <sz val="11"/>
        <color theme="1"/>
        <rFont val="Calibri"/>
        <family val="2"/>
        <scheme val="minor"/>
      </rPr>
      <t xml:space="preserve"> indien stage of single afstudeerder</t>
    </r>
  </si>
  <si>
    <r>
      <t xml:space="preserve">&gt;    </t>
    </r>
    <r>
      <rPr>
        <b/>
        <i/>
        <sz val="11"/>
        <color theme="1"/>
        <rFont val="Calibri"/>
        <family val="2"/>
        <scheme val="minor"/>
      </rPr>
      <t>laat leeg</t>
    </r>
    <r>
      <rPr>
        <i/>
        <sz val="11"/>
        <color theme="1"/>
        <rFont val="Calibri"/>
        <family val="2"/>
        <scheme val="minor"/>
      </rPr>
      <t xml:space="preserve"> in geval van stage of single afstudeerder</t>
    </r>
  </si>
  <si>
    <t>Student 1</t>
  </si>
  <si>
    <t>Student 2</t>
  </si>
  <si>
    <t>Competences</t>
  </si>
  <si>
    <t>Competence</t>
  </si>
  <si>
    <t>Description criteria</t>
  </si>
  <si>
    <t>Competence 1: 
Working systematically</t>
  </si>
  <si>
    <t>WHAT &amp; WHY
• Student indicates the context of the assignment, whereby the problem and/or reason, goal, stakeholders and scope become clear 
• Student describes the intended deliverables (products, actions) of the assignment 
• Student takes (such as stakeholders, deliverables ) both school and company, in the right balance. 
HOW 
• Student determines phases and activities for the assignment, incorporates these into a realistic planning, and determines relevant risks and appropriate measures 
• Student substantiates the chosen approach (methods &amp; techniques), which fits the purpose and context of the assignment 
• Student works according to the PvA and deviates from this in consultation where necessary. 
DEGREE OF INDEPENDENCE 
• Student(s) independently arrive at a usable (cohesive, complete and of sufficient quality) Action Plan.</t>
  </si>
  <si>
    <t>Competence 2: 
Problem-solving ability, delivering professional performance</t>
  </si>
  <si>
    <t>REQUIREMENTS 
• Student formulates clear requirements for the deliverables in advance, which match the needs of the client/client
IMPLEMENTATION 
• Student realizes the required deliverables in accordance with those requirements and expectations 
• Student substantiates the choices made during the realization of those deliverables 
• Student guarantees quality of the deliverables through appropriate tests, checks, validations
TRANSFER 
• Student ensures through implementation/transfer activities that the client can actually have success with the results delivered 
• Student has a satisfied client 
DEGREE OF INDEPENDENCE 
• Student(s) has/have worked independently.</t>
  </si>
  <si>
    <t>Competence 3: 
Investigative ability</t>
  </si>
  <si>
    <t>RESEARCH 
• Student determines a relevant main question/problem 
• Student conducts research in a systematic manner (such as: constructing a logical set of research questions, choosing appropriate research methods, triangulation, etc.) 
• Student collects and analyzes missing information from various sources 
CRITICAL THINKING 
• Student uses (scientific) insights of others, orients himself broadly and is critical of the sources used 
• Student considers alternatives and substantiates choices by means of independent/objective information and logical reasoning 
DEGREE OF INDEPENDENCE 
• Student(s) has/have worked independently.</t>
  </si>
  <si>
    <t>Competency 4:
Collaborate &amp; communicate</t>
  </si>
  <si>
    <t>PROACTIVE ATTITUDE 
• The student proactively coordinates with the relevant stakeholders, including in any case the client, company supervisor and lecturer-supervisor. In any case, this includes keeping you informed of progress. 
ORAL 
• Student demonstrates good oral communication skills, for example in conversations and presentations. 
WRITTEN 
• Student demonstrates good written communication skills (well-structured, language use is correct, and appropriate to the target group)</t>
  </si>
  <si>
    <t>Competence 5: 
Professional attitude</t>
  </si>
  <si>
    <t>PROFESSIONAL EMPLOYEE/CONTRACTOR 
• Student functions as a starting professional in the organization 
• Student shows ownership of the assignment and takes initiative to successfully complete the assignment 
SOCIAL RESPONSIBILITY 
• Student explicitly takes into account the impact on others when carrying out the assignment (think of : society, environment/planet, privacy/security, etc.). 
SELF-MANAGEMENT 
• Student has insight into own competences and actions (self-reflection) 
• Student shows ownership of personal development by making substantiated choices 
• Student deals professionally and effectively with (un)solicited feedback</t>
  </si>
  <si>
    <t>Realised Deliverables</t>
  </si>
  <si>
    <t>Adviesbeoordeling Bedrijfsbegeleider</t>
  </si>
  <si>
    <t>Grading Advice Company</t>
  </si>
  <si>
    <t>groen</t>
  </si>
  <si>
    <t>oranje</t>
  </si>
  <si>
    <t>rood</t>
  </si>
  <si>
    <t>wit</t>
  </si>
  <si>
    <t>white</t>
  </si>
  <si>
    <t>red</t>
  </si>
  <si>
    <t>orange</t>
  </si>
  <si>
    <t>green</t>
  </si>
  <si>
    <t>Afstudeertraject</t>
  </si>
  <si>
    <t>The whole project</t>
  </si>
  <si>
    <t>Voer hier de voorlopige beoordeling in ter voorbereiding op de herkansingszitting.</t>
  </si>
  <si>
    <t>onbekend</t>
  </si>
  <si>
    <t>unknown</t>
  </si>
  <si>
    <t>najaar 2025</t>
  </si>
  <si>
    <t>voorjaar 2026</t>
  </si>
  <si>
    <t>Informatica (BIM)</t>
  </si>
  <si>
    <t>Voer hier de voorlopige cijferbeoordeling in ter voorbereiding op de zitting.</t>
  </si>
  <si>
    <t>Voer hier de cijferbeoordeling in als advies voor de zitting.</t>
  </si>
  <si>
    <t>Advies bedrijfs-begeleider</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</si>
</sst>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2">
    <numFmt numFmtId="164" formatCode="[$-F800]dddd\,\ mmmm\ dd\,\ yyyy"/>
    <numFmt numFmtId="165" formatCode="0.0"/>
  </numFmts>
  <fonts count="25" x14ac:knownFonts="1">
    <font>
      <sz val="11"/>
      <color theme="1"/>
      <name val="Calibri"/>
      <family val="2"/>
      <scheme val="minor"/>
    </font>
    <font>
      <sz val="12"/>
      <color theme="1"/>
      <name val="Calibri"/>
      <family val="2"/>
      <scheme val="minor"/>
    </font>
    <font>
      <sz val="11"/>
      <color theme="0"/>
      <name val="Calibri"/>
      <family val="2"/>
      <scheme val="minor"/>
    </font>
    <font>
      <sz val="11"/>
      <color rgb="FFFF0000"/>
      <name val="Calibri"/>
      <family val="2"/>
      <scheme val="minor"/>
    </font>
    <font>
      <b/>
      <sz val="11"/>
      <color theme="1"/>
      <name val="Calibri"/>
      <family val="2"/>
      <scheme val="minor"/>
    </font>
    <font>
      <sz val="24"/>
      <color theme="0"/>
      <name val="Calibri"/>
      <family val="2"/>
      <scheme val="minor"/>
    </font>
    <font>
      <i/>
      <sz val="11"/>
      <color theme="0"/>
      <name val="Calibri"/>
      <family val="2"/>
      <scheme val="minor"/>
    </font>
    <font>
      <sz val="14"/>
      <color theme="1"/>
      <name val="Calibri"/>
      <family val="2"/>
      <scheme val="minor"/>
    </font>
    <font>
      <sz val="14"/>
      <color rgb="FFFF0000"/>
      <name val="Calibri"/>
      <family val="2"/>
      <scheme val="minor"/>
    </font>
    <font>
      <b/>
      <sz val="14"/>
      <color theme="1"/>
      <name val="Calibri"/>
      <family val="2"/>
      <scheme val="minor"/>
    </font>
    <font>
      <i/>
      <sz val="11"/>
      <color theme="1"/>
      <name val="Calibri"/>
      <family val="2"/>
      <scheme val="minor"/>
    </font>
    <font>
      <b/>
      <sz val="16"/>
      <color theme="0"/>
      <name val="Calibri"/>
      <family val="2"/>
      <scheme val="minor"/>
    </font>
    <font>
      <sz val="11"/>
      <name val="Calibri"/>
      <family val="2"/>
      <scheme val="minor"/>
    </font>
    <font>
      <b/>
      <sz val="16"/>
      <color rgb="FFFF0000"/>
      <name val="Calibri"/>
      <family val="2"/>
      <scheme val="minor"/>
    </font>
    <font>
      <b/>
      <sz val="11"/>
      <name val="Calibri"/>
      <family val="2"/>
      <scheme val="minor"/>
    </font>
    <font>
      <sz val="24"/>
      <color theme="1"/>
      <name val="Calibri"/>
      <family val="2"/>
      <scheme val="minor"/>
    </font>
    <font>
      <b/>
      <sz val="11"/>
      <color theme="0"/>
      <name val="Calibri"/>
      <family val="2"/>
      <scheme val="minor"/>
    </font>
    <font>
      <i/>
      <sz val="11"/>
      <name val="Calibri"/>
      <family val="2"/>
      <scheme val="minor"/>
    </font>
    <font>
      <b/>
      <sz val="14"/>
      <name val="Calibri"/>
      <family val="2"/>
      <scheme val="minor"/>
    </font>
    <font>
      <b/>
      <sz val="16"/>
      <name val="Calibri"/>
      <family val="2"/>
      <scheme val="minor"/>
    </font>
    <font>
      <b/>
      <sz val="14"/>
      <color theme="0"/>
      <name val="Calibri"/>
      <family val="2"/>
      <scheme val="minor"/>
    </font>
    <font>
      <i/>
      <sz val="18"/>
      <color theme="0"/>
      <name val="Calibri"/>
      <family val="2"/>
      <scheme val="minor"/>
    </font>
    <font>
      <b/>
      <i/>
      <sz val="11"/>
      <color theme="1"/>
      <name val="Calibri"/>
      <family val="2"/>
      <scheme val="minor"/>
    </font>
    <font>
      <sz val="11"/>
      <color theme="4"/>
      <name val="Calibri"/>
      <family val="2"/>
      <scheme val="minor"/>
    </font>
    <font>
      <sz val="12"/>
      <color theme="0"/>
      <name val="Calibri"/>
      <family val="2"/>
      <scheme val="minor"/>
    </font>
  </fonts>
  <fills count="7">
    <fill>
      <patternFill patternType="none"/>
    </fill>
    <fill>
      <patternFill patternType="gray125"/>
    </fill>
    <fill>
      <patternFill patternType="solid">
        <fgColor theme="4" tint="0.59999389629810485"/>
        <bgColor indexed="64"/>
      </patternFill>
    </fill>
    <fill>
      <patternFill patternType="solid">
        <fgColor theme="4" tint="0.79998168889431442"/>
        <bgColor indexed="64"/>
      </patternFill>
    </fill>
    <fill>
      <patternFill patternType="solid">
        <fgColor theme="4" tint="-0.249977111117893"/>
        <bgColor indexed="64"/>
      </patternFill>
    </fill>
    <fill>
      <patternFill patternType="solid">
        <fgColor theme="7" tint="0.79998168889431442"/>
        <bgColor indexed="64"/>
      </patternFill>
    </fill>
    <fill>
      <patternFill patternType="solid">
        <fgColor theme="1"/>
        <bgColor indexed="64"/>
      </patternFill>
    </fill>
  </fills>
  <borders count="38">
    <border>
      <left/>
      <right/>
      <top/>
      <bottom/>
      <diagonal/>
    </border>
    <border>
      <left style="thin">
        <color indexed="64"/>
      </left>
      <right style="thin">
        <color indexed="64"/>
      </right>
      <top style="thin">
        <color indexed="64"/>
      </top>
      <bottom style="thin">
        <color indexed="64"/>
      </bottom>
      <diagonal/>
    </border>
    <border>
      <left style="medium">
        <color indexed="64"/>
      </left>
      <right style="medium">
        <color indexed="64"/>
      </right>
      <top style="medium">
        <color indexed="64"/>
      </top>
      <bottom style="medium">
        <color indexed="64"/>
      </bottom>
      <diagonal/>
    </border>
    <border>
      <left/>
      <right style="medium">
        <color indexed="64"/>
      </right>
      <top style="medium">
        <color indexed="64"/>
      </top>
      <bottom style="medium">
        <color indexed="64"/>
      </bottom>
      <diagonal/>
    </border>
    <border>
      <left style="medium">
        <color indexed="64"/>
      </left>
      <right style="thin">
        <color indexed="64"/>
      </right>
      <top style="thin">
        <color indexed="64"/>
      </top>
      <bottom style="thin">
        <color indexed="64"/>
      </bottom>
      <diagonal/>
    </border>
    <border>
      <left style="thin">
        <color indexed="64"/>
      </left>
      <right style="medium">
        <color indexed="64"/>
      </right>
      <top style="thin">
        <color indexed="64"/>
      </top>
      <bottom style="thin">
        <color indexed="64"/>
      </bottom>
      <diagonal/>
    </border>
    <border>
      <left style="medium">
        <color indexed="64"/>
      </left>
      <right style="thin">
        <color indexed="64"/>
      </right>
      <top style="thin">
        <color indexed="64"/>
      </top>
      <bottom style="medium">
        <color indexed="64"/>
      </bottom>
      <diagonal/>
    </border>
    <border>
      <left style="thin">
        <color indexed="64"/>
      </left>
      <right style="thin">
        <color indexed="64"/>
      </right>
      <top style="thin">
        <color indexed="64"/>
      </top>
      <bottom style="medium">
        <color indexed="64"/>
      </bottom>
      <diagonal/>
    </border>
    <border>
      <left style="thin">
        <color indexed="64"/>
      </left>
      <right style="medium">
        <color indexed="64"/>
      </right>
      <top style="thin">
        <color indexed="64"/>
      </top>
      <bottom style="medium">
        <color indexed="64"/>
      </bottom>
      <diagonal/>
    </border>
    <border>
      <left style="medium">
        <color indexed="64"/>
      </left>
      <right/>
      <top style="medium">
        <color indexed="64"/>
      </top>
      <bottom style="medium">
        <color indexed="64"/>
      </bottom>
      <diagonal/>
    </border>
    <border>
      <left/>
      <right style="medium">
        <color indexed="64"/>
      </right>
      <top style="thin">
        <color indexed="64"/>
      </top>
      <bottom style="thin">
        <color indexed="64"/>
      </bottom>
      <diagonal/>
    </border>
    <border>
      <left style="medium">
        <color indexed="64"/>
      </left>
      <right/>
      <top/>
      <bottom/>
      <diagonal/>
    </border>
    <border>
      <left/>
      <right style="medium">
        <color indexed="64"/>
      </right>
      <top/>
      <bottom/>
      <diagonal/>
    </border>
    <border>
      <left/>
      <right/>
      <top style="medium">
        <color indexed="64"/>
      </top>
      <bottom style="medium">
        <color indexed="64"/>
      </bottom>
      <diagonal/>
    </border>
    <border>
      <left style="medium">
        <color indexed="64"/>
      </left>
      <right style="thin">
        <color indexed="64"/>
      </right>
      <top/>
      <bottom style="thin">
        <color indexed="64"/>
      </bottom>
      <diagonal/>
    </border>
    <border>
      <left style="medium">
        <color rgb="FFFF0000"/>
      </left>
      <right/>
      <top style="medium">
        <color rgb="FFFF0000"/>
      </top>
      <bottom/>
      <diagonal/>
    </border>
    <border>
      <left/>
      <right/>
      <top style="medium">
        <color rgb="FFFF0000"/>
      </top>
      <bottom/>
      <diagonal/>
    </border>
    <border>
      <left/>
      <right style="medium">
        <color rgb="FFFF0000"/>
      </right>
      <top style="medium">
        <color rgb="FFFF0000"/>
      </top>
      <bottom/>
      <diagonal/>
    </border>
    <border>
      <left style="medium">
        <color rgb="FFFF0000"/>
      </left>
      <right/>
      <top/>
      <bottom style="medium">
        <color rgb="FFFF0000"/>
      </bottom>
      <diagonal/>
    </border>
    <border>
      <left/>
      <right/>
      <top/>
      <bottom style="medium">
        <color rgb="FFFF0000"/>
      </bottom>
      <diagonal/>
    </border>
    <border>
      <left/>
      <right style="medium">
        <color rgb="FFFF0000"/>
      </right>
      <top/>
      <bottom style="medium">
        <color rgb="FFFF0000"/>
      </bottom>
      <diagonal/>
    </border>
    <border>
      <left/>
      <right/>
      <top style="medium">
        <color indexed="64"/>
      </top>
      <bottom/>
      <diagonal/>
    </border>
    <border>
      <left style="medium">
        <color indexed="64"/>
      </left>
      <right/>
      <top style="thin">
        <color indexed="64"/>
      </top>
      <bottom style="thin">
        <color indexed="64"/>
      </bottom>
      <diagonal/>
    </border>
    <border>
      <left/>
      <right/>
      <top style="thin">
        <color indexed="64"/>
      </top>
      <bottom style="thin">
        <color indexed="64"/>
      </bottom>
      <diagonal/>
    </border>
    <border>
      <left style="medium">
        <color indexed="64"/>
      </left>
      <right style="thin">
        <color indexed="64"/>
      </right>
      <top style="thin">
        <color indexed="64"/>
      </top>
      <bottom/>
      <diagonal/>
    </border>
    <border>
      <left style="thin">
        <color indexed="64"/>
      </left>
      <right/>
      <top style="thin">
        <color indexed="64"/>
      </top>
      <bottom style="thin">
        <color indexed="64"/>
      </bottom>
      <diagonal/>
    </border>
    <border>
      <left style="thin">
        <color indexed="64"/>
      </left>
      <right/>
      <top style="thin">
        <color indexed="64"/>
      </top>
      <bottom style="medium">
        <color indexed="64"/>
      </bottom>
      <diagonal/>
    </border>
    <border>
      <left/>
      <right/>
      <top style="thin">
        <color indexed="64"/>
      </top>
      <bottom style="medium">
        <color indexed="64"/>
      </bottom>
      <diagonal/>
    </border>
    <border>
      <left/>
      <right style="medium">
        <color indexed="64"/>
      </right>
      <top style="thin">
        <color indexed="64"/>
      </top>
      <bottom style="medium">
        <color indexed="64"/>
      </bottom>
      <diagonal/>
    </border>
    <border>
      <left/>
      <right style="thin">
        <color indexed="64"/>
      </right>
      <top style="thin">
        <color indexed="64"/>
      </top>
      <bottom style="thin">
        <color indexed="64"/>
      </bottom>
      <diagonal/>
    </border>
    <border>
      <left/>
      <right/>
      <top/>
      <bottom style="medium">
        <color indexed="64"/>
      </bottom>
      <diagonal/>
    </border>
    <border>
      <left style="thin">
        <color indexed="64"/>
      </left>
      <right style="medium">
        <color indexed="64"/>
      </right>
      <top/>
      <bottom style="thin">
        <color indexed="64"/>
      </bottom>
      <diagonal/>
    </border>
    <border>
      <left style="medium">
        <color indexed="64"/>
      </left>
      <right/>
      <top style="medium">
        <color indexed="64"/>
      </top>
      <bottom/>
      <diagonal/>
    </border>
    <border>
      <left style="thin">
        <color indexed="64"/>
      </left>
      <right style="medium">
        <color indexed="64"/>
      </right>
      <top/>
      <bottom/>
      <diagonal/>
    </border>
    <border>
      <left style="thin">
        <color indexed="64"/>
      </left>
      <right style="medium">
        <color indexed="64"/>
      </right>
      <top style="thin">
        <color indexed="64"/>
      </top>
      <bottom/>
      <diagonal/>
    </border>
    <border>
      <left style="medium">
        <color indexed="64"/>
      </left>
      <right style="medium">
        <color indexed="64"/>
      </right>
      <top style="medium">
        <color indexed="64"/>
      </top>
      <bottom/>
      <diagonal/>
    </border>
    <border>
      <left/>
      <right/>
      <top style="medium">
        <color theme="4" tint="-0.24994659260841701"/>
      </top>
      <bottom style="medium">
        <color theme="4" tint="-0.24994659260841701"/>
      </bottom>
      <diagonal/>
    </border>
    <border>
      <left style="medium">
        <color indexed="64"/>
      </left>
      <right style="thin">
        <color indexed="64"/>
      </right>
      <top/>
      <bottom/>
      <diagonal/>
    </border>
  </borders>
  <cellStyleXfs count="1">
    <xf numFmtId="0" fontId="0" fillId="0" borderId="0"/>
  </cellStyleXfs>
  <cellXfs count="151">
    <xf numFmtId="0" fontId="0" fillId="0" borderId="0" xfId="0"/>
    <xf numFmtId="0" fontId="3" fillId="0" borderId="0" xfId="0" applyFont="1"/>
    <xf numFmtId="0" fontId="0" fillId="0" borderId="0" xfId="0" applyAlignment="1">
      <alignment vertical="top"/>
    </xf>
    <xf numFmtId="0" fontId="7" fillId="2" borderId="1" xfId="0" applyFont="1" applyFill="1" applyBorder="1"/>
    <xf numFmtId="0" fontId="8" fillId="0" borderId="0" xfId="0" applyFont="1"/>
    <xf numFmtId="0" fontId="4" fillId="0" borderId="0" xfId="0" applyFont="1" applyAlignment="1">
      <alignment vertical="top"/>
    </xf>
    <xf numFmtId="0" fontId="5" fillId="4" borderId="0" xfId="0" applyFont="1" applyFill="1" applyAlignment="1">
      <alignment vertical="top"/>
    </xf>
    <xf numFmtId="0" fontId="0" fillId="2" borderId="9" xfId="0" applyFill="1" applyBorder="1"/>
    <xf numFmtId="0" fontId="0" fillId="2" borderId="2" xfId="0" applyFill="1" applyBorder="1"/>
    <xf numFmtId="0" fontId="2" fillId="0" borderId="0" xfId="0" applyFont="1"/>
    <xf numFmtId="0" fontId="10" fillId="0" borderId="0" xfId="0" applyFont="1"/>
    <xf numFmtId="0" fontId="2" fillId="4" borderId="11" xfId="0" applyFont="1" applyFill="1" applyBorder="1" applyAlignment="1">
      <alignment vertical="top"/>
    </xf>
    <xf numFmtId="0" fontId="4" fillId="0" borderId="0" xfId="0" applyFont="1"/>
    <xf numFmtId="0" fontId="6" fillId="4" borderId="0" xfId="0" applyFont="1" applyFill="1" applyAlignment="1">
      <alignment vertical="top" wrapText="1"/>
    </xf>
    <xf numFmtId="0" fontId="0" fillId="5" borderId="2" xfId="0" applyFill="1" applyBorder="1" applyProtection="1">
      <protection locked="0"/>
    </xf>
    <xf numFmtId="0" fontId="0" fillId="0" borderId="1" xfId="0" applyBorder="1" applyAlignment="1" applyProtection="1">
      <alignment vertical="top" wrapText="1"/>
      <protection locked="0"/>
    </xf>
    <xf numFmtId="0" fontId="0" fillId="0" borderId="0" xfId="0" applyAlignment="1">
      <alignment wrapText="1"/>
    </xf>
    <xf numFmtId="0" fontId="6" fillId="4" borderId="3" xfId="0" applyFont="1" applyFill="1" applyBorder="1" applyAlignment="1">
      <alignment vertical="top" wrapText="1"/>
    </xf>
    <xf numFmtId="0" fontId="6" fillId="6" borderId="0" xfId="0" applyFont="1" applyFill="1" applyAlignment="1">
      <alignment vertical="top" wrapText="1"/>
    </xf>
    <xf numFmtId="0" fontId="3" fillId="4" borderId="12" xfId="0" applyFont="1" applyFill="1" applyBorder="1"/>
    <xf numFmtId="0" fontId="3" fillId="6" borderId="0" xfId="0" applyFont="1" applyFill="1"/>
    <xf numFmtId="0" fontId="16" fillId="4" borderId="12" xfId="0" applyFont="1" applyFill="1" applyBorder="1"/>
    <xf numFmtId="0" fontId="0" fillId="6" borderId="0" xfId="0" applyFill="1"/>
    <xf numFmtId="0" fontId="0" fillId="4" borderId="12" xfId="0" applyFill="1" applyBorder="1"/>
    <xf numFmtId="0" fontId="0" fillId="6" borderId="0" xfId="0" applyFill="1" applyAlignment="1">
      <alignment horizontal="left"/>
    </xf>
    <xf numFmtId="0" fontId="0" fillId="0" borderId="0" xfId="0" applyAlignment="1">
      <alignment horizontal="left"/>
    </xf>
    <xf numFmtId="0" fontId="18" fillId="3" borderId="5" xfId="0" applyFont="1" applyFill="1" applyBorder="1" applyAlignment="1">
      <alignment vertical="top" wrapText="1"/>
    </xf>
    <xf numFmtId="0" fontId="2" fillId="6" borderId="0" xfId="0" applyFont="1" applyFill="1" applyAlignment="1">
      <alignment vertical="top"/>
    </xf>
    <xf numFmtId="165" fontId="0" fillId="3" borderId="1" xfId="0" applyNumberFormat="1" applyFill="1" applyBorder="1" applyAlignment="1">
      <alignment horizontal="center" vertical="top" wrapText="1"/>
    </xf>
    <xf numFmtId="165" fontId="0" fillId="6" borderId="0" xfId="0" applyNumberFormat="1" applyFill="1"/>
    <xf numFmtId="165" fontId="0" fillId="3" borderId="1" xfId="0" applyNumberFormat="1" applyFill="1" applyBorder="1" applyAlignment="1">
      <alignment horizontal="center" vertical="center" wrapText="1"/>
    </xf>
    <xf numFmtId="165" fontId="12" fillId="0" borderId="5" xfId="0" applyNumberFormat="1" applyFont="1" applyBorder="1" applyAlignment="1" applyProtection="1">
      <alignment horizontal="center" vertical="center"/>
      <protection locked="0"/>
    </xf>
    <xf numFmtId="165" fontId="20" fillId="4" borderId="5" xfId="0" applyNumberFormat="1" applyFont="1" applyFill="1" applyBorder="1" applyAlignment="1">
      <alignment horizontal="center" vertical="center"/>
    </xf>
    <xf numFmtId="165" fontId="2" fillId="6" borderId="0" xfId="0" applyNumberFormat="1" applyFont="1" applyFill="1"/>
    <xf numFmtId="0" fontId="10" fillId="0" borderId="24" xfId="0" applyFont="1" applyBorder="1" applyAlignment="1">
      <alignment horizontal="left" vertical="top" wrapText="1"/>
    </xf>
    <xf numFmtId="0" fontId="0" fillId="0" borderId="6" xfId="0" applyBorder="1" applyAlignment="1" applyProtection="1">
      <alignment vertical="top" wrapText="1"/>
      <protection locked="0"/>
    </xf>
    <xf numFmtId="0" fontId="2" fillId="4" borderId="0" xfId="0" applyFont="1" applyFill="1"/>
    <xf numFmtId="0" fontId="10" fillId="0" borderId="6" xfId="0" applyFont="1" applyBorder="1" applyAlignment="1" applyProtection="1">
      <alignment horizontal="left" vertical="top" wrapText="1"/>
      <protection locked="0"/>
    </xf>
    <xf numFmtId="0" fontId="10" fillId="0" borderId="6" xfId="0" applyFont="1" applyBorder="1" applyAlignment="1" applyProtection="1">
      <alignment vertical="top" wrapText="1"/>
      <protection locked="0"/>
    </xf>
    <xf numFmtId="0" fontId="9" fillId="3" borderId="1" xfId="0" applyFont="1" applyFill="1" applyBorder="1" applyAlignment="1">
      <alignment vertical="top" wrapText="1"/>
    </xf>
    <xf numFmtId="0" fontId="15" fillId="4" borderId="0" xfId="0" applyFont="1" applyFill="1" applyAlignment="1">
      <alignment horizontal="center" vertical="center"/>
    </xf>
    <xf numFmtId="0" fontId="2" fillId="4" borderId="0" xfId="0" applyFont="1" applyFill="1" applyAlignment="1">
      <alignment vertical="top"/>
    </xf>
    <xf numFmtId="0" fontId="11" fillId="4" borderId="0" xfId="0" applyFont="1" applyFill="1"/>
    <xf numFmtId="0" fontId="0" fillId="0" borderId="0" xfId="0" applyAlignment="1">
      <alignment horizontal="center" vertical="center"/>
    </xf>
    <xf numFmtId="0" fontId="7" fillId="0" borderId="0" xfId="0" applyFont="1"/>
    <xf numFmtId="0" fontId="15" fillId="0" borderId="0" xfId="0" applyFont="1" applyAlignment="1">
      <alignment horizontal="center" vertical="center"/>
    </xf>
    <xf numFmtId="0" fontId="7" fillId="2" borderId="1" xfId="0" applyFont="1" applyFill="1" applyBorder="1" applyAlignment="1">
      <alignment horizontal="center" vertical="center"/>
    </xf>
    <xf numFmtId="164" fontId="12" fillId="0" borderId="1" xfId="0" applyNumberFormat="1" applyFont="1" applyBorder="1" applyAlignment="1" applyProtection="1">
      <alignment horizontal="left"/>
      <protection locked="0"/>
    </xf>
    <xf numFmtId="0" fontId="0" fillId="2" borderId="1" xfId="0" applyFill="1" applyBorder="1" applyAlignment="1" applyProtection="1">
      <alignment vertical="top" wrapText="1"/>
      <protection locked="0"/>
    </xf>
    <xf numFmtId="0" fontId="11" fillId="0" borderId="0" xfId="0" applyFont="1"/>
    <xf numFmtId="0" fontId="7" fillId="0" borderId="0" xfId="0" applyFont="1" applyAlignment="1">
      <alignment horizontal="center" vertical="center"/>
    </xf>
    <xf numFmtId="0" fontId="0" fillId="0" borderId="0" xfId="0" applyAlignment="1" applyProtection="1">
      <alignment vertical="top" wrapText="1"/>
      <protection locked="0"/>
    </xf>
    <xf numFmtId="0" fontId="0" fillId="0" borderId="0" xfId="0" applyAlignment="1" applyProtection="1">
      <alignment horizontal="left" vertical="top" wrapText="1"/>
      <protection locked="0"/>
    </xf>
    <xf numFmtId="0" fontId="6" fillId="4" borderId="32" xfId="0" applyFont="1" applyFill="1" applyBorder="1" applyAlignment="1">
      <alignment vertical="top" wrapText="1"/>
    </xf>
    <xf numFmtId="0" fontId="15" fillId="4" borderId="21" xfId="0" applyFont="1" applyFill="1" applyBorder="1" applyAlignment="1">
      <alignment horizontal="center" vertical="center"/>
    </xf>
    <xf numFmtId="0" fontId="11" fillId="4" borderId="11" xfId="0" applyFont="1" applyFill="1" applyBorder="1"/>
    <xf numFmtId="0" fontId="2" fillId="4" borderId="11" xfId="0" applyFont="1" applyFill="1" applyBorder="1"/>
    <xf numFmtId="0" fontId="7" fillId="2" borderId="4" xfId="0" applyFont="1" applyFill="1" applyBorder="1" applyAlignment="1">
      <alignment horizontal="center" vertical="center"/>
    </xf>
    <xf numFmtId="164" fontId="12" fillId="0" borderId="4" xfId="0" applyNumberFormat="1" applyFont="1" applyBorder="1" applyAlignment="1" applyProtection="1">
      <alignment horizontal="left"/>
      <protection locked="0"/>
    </xf>
    <xf numFmtId="0" fontId="7" fillId="2" borderId="4" xfId="0" applyFont="1" applyFill="1" applyBorder="1"/>
    <xf numFmtId="0" fontId="0" fillId="0" borderId="7" xfId="0" applyBorder="1" applyProtection="1">
      <protection locked="0"/>
    </xf>
    <xf numFmtId="0" fontId="5" fillId="4" borderId="32" xfId="0" applyFont="1" applyFill="1" applyBorder="1" applyAlignment="1">
      <alignment vertical="top"/>
    </xf>
    <xf numFmtId="0" fontId="6" fillId="4" borderId="21" xfId="0" applyFont="1" applyFill="1" applyBorder="1" applyAlignment="1">
      <alignment vertical="top" wrapText="1"/>
    </xf>
    <xf numFmtId="0" fontId="2" fillId="4" borderId="14" xfId="0" applyFont="1" applyFill="1" applyBorder="1" applyAlignment="1">
      <alignment horizontal="center" vertical="center"/>
    </xf>
    <xf numFmtId="0" fontId="2" fillId="4" borderId="4" xfId="0" applyFont="1" applyFill="1" applyBorder="1" applyAlignment="1">
      <alignment vertical="top"/>
    </xf>
    <xf numFmtId="0" fontId="0" fillId="0" borderId="7" xfId="0" applyBorder="1" applyAlignment="1" applyProtection="1">
      <alignment vertical="top" wrapText="1"/>
      <protection locked="0"/>
    </xf>
    <xf numFmtId="0" fontId="9" fillId="2" borderId="25" xfId="0" applyFont="1" applyFill="1" applyBorder="1" applyAlignment="1">
      <alignment vertical="top"/>
    </xf>
    <xf numFmtId="0" fontId="15" fillId="4" borderId="32" xfId="0" applyFont="1" applyFill="1" applyBorder="1" applyAlignment="1">
      <alignment horizontal="center" vertical="center"/>
    </xf>
    <xf numFmtId="0" fontId="15" fillId="4" borderId="11" xfId="0" applyFont="1" applyFill="1" applyBorder="1" applyAlignment="1">
      <alignment horizontal="center" vertical="center"/>
    </xf>
    <xf numFmtId="0" fontId="0" fillId="2" borderId="7" xfId="0" applyFill="1" applyBorder="1"/>
    <xf numFmtId="0" fontId="15" fillId="2" borderId="6" xfId="0" applyFont="1" applyFill="1" applyBorder="1" applyAlignment="1">
      <alignment horizontal="center" vertical="center"/>
    </xf>
    <xf numFmtId="0" fontId="15" fillId="2" borderId="7" xfId="0" applyFont="1" applyFill="1" applyBorder="1" applyAlignment="1">
      <alignment horizontal="center" vertical="center"/>
    </xf>
    <xf numFmtId="0" fontId="14" fillId="0" borderId="0" xfId="0" applyFont="1"/>
    <xf numFmtId="0" fontId="23" fillId="4" borderId="0" xfId="0" applyFont="1" applyFill="1"/>
    <xf numFmtId="0" fontId="0" fillId="2" borderId="35" xfId="0" applyFill="1" applyBorder="1"/>
    <xf numFmtId="0" fontId="4" fillId="0" borderId="36" xfId="0" applyFont="1" applyBorder="1" applyAlignment="1">
      <alignment vertical="top" wrapText="1"/>
    </xf>
    <xf numFmtId="0" fontId="0" fillId="0" borderId="36" xfId="0" applyBorder="1" applyAlignment="1">
      <alignment vertical="top" wrapText="1"/>
    </xf>
    <xf numFmtId="0" fontId="23" fillId="4" borderId="36" xfId="0" applyFont="1" applyFill="1" applyBorder="1"/>
    <xf numFmtId="0" fontId="24" fillId="4" borderId="11" xfId="0" applyFont="1" applyFill="1" applyBorder="1" applyAlignment="1">
      <alignment vertical="top"/>
    </xf>
    <xf numFmtId="165" fontId="12" fillId="0" borderId="5" xfId="0" applyNumberFormat="1" applyFont="1" applyBorder="1" applyAlignment="1" applyProtection="1">
      <alignment horizontal="center"/>
      <protection locked="0"/>
    </xf>
    <xf numFmtId="0" fontId="0" fillId="0" borderId="0" xfId="0" quotePrefix="1" applyAlignment="1">
      <alignment vertical="top"/>
    </xf>
    <xf numFmtId="0" fontId="15" fillId="0" borderId="6" xfId="0" applyFont="1" applyBorder="1" applyAlignment="1" applyProtection="1">
      <alignment horizontal="center" vertical="center"/>
      <protection locked="0"/>
    </xf>
    <xf numFmtId="0" fontId="15" fillId="0" borderId="7" xfId="0" applyFont="1" applyBorder="1" applyAlignment="1" applyProtection="1">
      <alignment horizontal="center" vertical="center"/>
      <protection locked="0"/>
    </xf>
    <xf numFmtId="0" fontId="9" fillId="3" borderId="29" xfId="0" applyFont="1" applyFill="1" applyBorder="1" applyAlignment="1">
      <alignment horizontal="left" vertical="top" wrapText="1"/>
    </xf>
    <xf numFmtId="0" fontId="0" fillId="3" borderId="29" xfId="0" applyFill="1" applyBorder="1" applyAlignment="1">
      <alignment horizontal="left"/>
    </xf>
    <xf numFmtId="0" fontId="13" fillId="0" borderId="15" xfId="0" applyFont="1" applyBorder="1" applyAlignment="1">
      <alignment horizontal="center" vertical="center"/>
    </xf>
    <xf numFmtId="0" fontId="13" fillId="0" borderId="16" xfId="0" applyFont="1" applyBorder="1" applyAlignment="1">
      <alignment horizontal="center" vertical="center"/>
    </xf>
    <xf numFmtId="0" fontId="13" fillId="0" borderId="17" xfId="0" applyFont="1" applyBorder="1" applyAlignment="1">
      <alignment horizontal="center" vertical="center"/>
    </xf>
    <xf numFmtId="0" fontId="13" fillId="0" borderId="18" xfId="0" applyFont="1" applyBorder="1" applyAlignment="1">
      <alignment horizontal="center" vertical="center"/>
    </xf>
    <xf numFmtId="0" fontId="13" fillId="0" borderId="19" xfId="0" applyFont="1" applyBorder="1" applyAlignment="1">
      <alignment horizontal="center" vertical="center"/>
    </xf>
    <xf numFmtId="0" fontId="13" fillId="0" borderId="20" xfId="0" applyFont="1" applyBorder="1" applyAlignment="1">
      <alignment horizontal="center" vertical="center"/>
    </xf>
    <xf numFmtId="0" fontId="5" fillId="4" borderId="30" xfId="0" applyFont="1" applyFill="1" applyBorder="1" applyAlignment="1">
      <alignment horizontal="left" vertical="top" wrapText="1"/>
    </xf>
    <xf numFmtId="0" fontId="0" fillId="3" borderId="34" xfId="0" applyFill="1" applyBorder="1" applyAlignment="1">
      <alignment horizontal="left" vertical="top" wrapText="1"/>
    </xf>
    <xf numFmtId="0" fontId="0" fillId="3" borderId="33" xfId="0" applyFill="1" applyBorder="1" applyAlignment="1">
      <alignment horizontal="left" vertical="top" wrapText="1"/>
    </xf>
    <xf numFmtId="0" fontId="0" fillId="3" borderId="31" xfId="0" applyFill="1" applyBorder="1" applyAlignment="1">
      <alignment horizontal="left" vertical="top" wrapText="1"/>
    </xf>
    <xf numFmtId="0" fontId="24" fillId="4" borderId="0" xfId="0" applyFont="1" applyFill="1" applyAlignment="1">
      <alignment horizontal="left"/>
    </xf>
    <xf numFmtId="0" fontId="2" fillId="4" borderId="0" xfId="0" applyFont="1" applyFill="1" applyAlignment="1">
      <alignment horizontal="center" vertical="center"/>
    </xf>
    <xf numFmtId="0" fontId="2" fillId="4" borderId="30" xfId="0" applyFont="1" applyFill="1" applyBorder="1" applyAlignment="1">
      <alignment horizontal="center" vertical="center"/>
    </xf>
    <xf numFmtId="0" fontId="4" fillId="3" borderId="4" xfId="0" applyFont="1" applyFill="1" applyBorder="1" applyAlignment="1">
      <alignment horizontal="right" vertical="center" wrapText="1"/>
    </xf>
    <xf numFmtId="0" fontId="4" fillId="3" borderId="6" xfId="0" applyFont="1" applyFill="1" applyBorder="1" applyAlignment="1">
      <alignment horizontal="right" vertical="center" wrapText="1"/>
    </xf>
    <xf numFmtId="0" fontId="0" fillId="0" borderId="1" xfId="0" applyBorder="1" applyAlignment="1" applyProtection="1">
      <alignment horizontal="left" vertical="top" wrapText="1"/>
      <protection locked="0"/>
    </xf>
    <xf numFmtId="0" fontId="0" fillId="0" borderId="7" xfId="0" applyBorder="1" applyAlignment="1" applyProtection="1">
      <alignment horizontal="left" vertical="top" wrapText="1"/>
      <protection locked="0"/>
    </xf>
    <xf numFmtId="0" fontId="0" fillId="3" borderId="24" xfId="0" applyFill="1" applyBorder="1" applyAlignment="1">
      <alignment horizontal="left" vertical="top" wrapText="1"/>
    </xf>
    <xf numFmtId="0" fontId="0" fillId="3" borderId="37" xfId="0" applyFill="1" applyBorder="1" applyAlignment="1">
      <alignment horizontal="left" vertical="top" wrapText="1"/>
    </xf>
    <xf numFmtId="0" fontId="0" fillId="3" borderId="14" xfId="0" applyFill="1" applyBorder="1" applyAlignment="1">
      <alignment horizontal="left" vertical="top" wrapText="1"/>
    </xf>
    <xf numFmtId="0" fontId="21" fillId="4" borderId="21" xfId="0" applyFont="1" applyFill="1" applyBorder="1" applyAlignment="1">
      <alignment horizontal="center" vertical="center"/>
    </xf>
    <xf numFmtId="0" fontId="2" fillId="4" borderId="21" xfId="0" applyFont="1" applyFill="1" applyBorder="1" applyAlignment="1">
      <alignment horizontal="center"/>
    </xf>
    <xf numFmtId="0" fontId="2" fillId="4" borderId="0" xfId="0" applyFont="1" applyFill="1" applyAlignment="1">
      <alignment horizontal="center"/>
    </xf>
    <xf numFmtId="0" fontId="2" fillId="4" borderId="30" xfId="0" applyFont="1" applyFill="1" applyBorder="1" applyAlignment="1">
      <alignment horizontal="center"/>
    </xf>
    <xf numFmtId="0" fontId="10" fillId="0" borderId="26" xfId="0" applyFont="1" applyBorder="1" applyAlignment="1" applyProtection="1">
      <alignment horizontal="left" vertical="top" wrapText="1"/>
      <protection locked="0"/>
    </xf>
    <xf numFmtId="0" fontId="10" fillId="0" borderId="27" xfId="0" applyFont="1" applyBorder="1" applyAlignment="1" applyProtection="1">
      <alignment horizontal="left" vertical="top" wrapText="1"/>
      <protection locked="0"/>
    </xf>
    <xf numFmtId="0" fontId="10" fillId="0" borderId="28" xfId="0" applyFont="1" applyBorder="1" applyAlignment="1" applyProtection="1">
      <alignment horizontal="left" vertical="top" wrapText="1"/>
      <protection locked="0"/>
    </xf>
    <xf numFmtId="0" fontId="0" fillId="0" borderId="26" xfId="0" applyBorder="1" applyAlignment="1" applyProtection="1">
      <alignment horizontal="left" vertical="top" wrapText="1"/>
      <protection locked="0"/>
    </xf>
    <xf numFmtId="0" fontId="0" fillId="0" borderId="27" xfId="0" applyBorder="1" applyAlignment="1" applyProtection="1">
      <alignment horizontal="left" vertical="top" wrapText="1"/>
      <protection locked="0"/>
    </xf>
    <xf numFmtId="0" fontId="0" fillId="0" borderId="28" xfId="0" applyBorder="1" applyAlignment="1" applyProtection="1">
      <alignment horizontal="left" vertical="top" wrapText="1"/>
      <protection locked="0"/>
    </xf>
    <xf numFmtId="0" fontId="10" fillId="3" borderId="4" xfId="0" applyFont="1" applyFill="1" applyBorder="1" applyAlignment="1">
      <alignment horizontal="left" vertical="top" wrapText="1"/>
    </xf>
    <xf numFmtId="0" fontId="10" fillId="3" borderId="1" xfId="0" applyFont="1" applyFill="1" applyBorder="1" applyAlignment="1">
      <alignment horizontal="left" vertical="top" wrapText="1"/>
    </xf>
    <xf numFmtId="0" fontId="10" fillId="3" borderId="5" xfId="0" applyFont="1" applyFill="1" applyBorder="1" applyAlignment="1">
      <alignment horizontal="left" vertical="top" wrapText="1"/>
    </xf>
    <xf numFmtId="0" fontId="10" fillId="0" borderId="25" xfId="0" applyFont="1" applyBorder="1" applyAlignment="1">
      <alignment horizontal="left" vertical="top" wrapText="1"/>
    </xf>
    <xf numFmtId="0" fontId="10" fillId="0" borderId="23" xfId="0" applyFont="1" applyBorder="1" applyAlignment="1">
      <alignment horizontal="left" vertical="top" wrapText="1"/>
    </xf>
    <xf numFmtId="0" fontId="10" fillId="0" borderId="10" xfId="0" applyFont="1" applyBorder="1" applyAlignment="1">
      <alignment horizontal="left" vertical="top" wrapText="1"/>
    </xf>
    <xf numFmtId="0" fontId="0" fillId="0" borderId="6" xfId="0" applyBorder="1" applyAlignment="1" applyProtection="1">
      <alignment horizontal="left" vertical="top" wrapText="1"/>
      <protection locked="0"/>
    </xf>
    <xf numFmtId="0" fontId="0" fillId="0" borderId="8" xfId="0" applyBorder="1" applyAlignment="1" applyProtection="1">
      <alignment horizontal="left" vertical="top" wrapText="1"/>
      <protection locked="0"/>
    </xf>
    <xf numFmtId="0" fontId="9" fillId="2" borderId="4" xfId="0" applyFont="1" applyFill="1" applyBorder="1" applyAlignment="1">
      <alignment horizontal="left" vertical="top"/>
    </xf>
    <xf numFmtId="0" fontId="9" fillId="2" borderId="1" xfId="0" applyFont="1" applyFill="1" applyBorder="1" applyAlignment="1">
      <alignment horizontal="left" vertical="top"/>
    </xf>
    <xf numFmtId="0" fontId="9" fillId="2" borderId="5" xfId="0" applyFont="1" applyFill="1" applyBorder="1" applyAlignment="1">
      <alignment horizontal="left" vertical="top"/>
    </xf>
    <xf numFmtId="0" fontId="0" fillId="0" borderId="22" xfId="0" applyBorder="1" applyAlignment="1" applyProtection="1">
      <alignment horizontal="left" vertical="top" wrapText="1"/>
      <protection locked="0"/>
    </xf>
    <xf numFmtId="0" fontId="0" fillId="0" borderId="23" xfId="0" applyBorder="1" applyAlignment="1" applyProtection="1">
      <alignment horizontal="left" vertical="top" wrapText="1"/>
      <protection locked="0"/>
    </xf>
    <xf numFmtId="0" fontId="0" fillId="0" borderId="10" xfId="0" applyBorder="1" applyAlignment="1" applyProtection="1">
      <alignment horizontal="left" vertical="top" wrapText="1"/>
      <protection locked="0"/>
    </xf>
    <xf numFmtId="0" fontId="20" fillId="4" borderId="4" xfId="0" applyFont="1" applyFill="1" applyBorder="1" applyAlignment="1">
      <alignment horizontal="left" vertical="top"/>
    </xf>
    <xf numFmtId="0" fontId="20" fillId="4" borderId="1" xfId="0" applyFont="1" applyFill="1" applyBorder="1" applyAlignment="1">
      <alignment horizontal="left" vertical="top"/>
    </xf>
    <xf numFmtId="0" fontId="9" fillId="3" borderId="22" xfId="0" applyFont="1" applyFill="1" applyBorder="1" applyAlignment="1">
      <alignment horizontal="left" vertical="top" wrapText="1"/>
    </xf>
    <xf numFmtId="0" fontId="9" fillId="3" borderId="29" xfId="0" applyFont="1" applyFill="1" applyBorder="1" applyAlignment="1">
      <alignment horizontal="left" vertical="top" wrapText="1"/>
    </xf>
    <xf numFmtId="0" fontId="0" fillId="3" borderId="22" xfId="0" applyFill="1" applyBorder="1" applyAlignment="1">
      <alignment horizontal="left"/>
    </xf>
    <xf numFmtId="0" fontId="0" fillId="3" borderId="29" xfId="0" applyFill="1" applyBorder="1" applyAlignment="1">
      <alignment horizontal="left"/>
    </xf>
    <xf numFmtId="0" fontId="17" fillId="3" borderId="4" xfId="0" applyFont="1" applyFill="1" applyBorder="1" applyAlignment="1">
      <alignment horizontal="left" vertical="top" wrapText="1"/>
    </xf>
    <xf numFmtId="0" fontId="17" fillId="3" borderId="1" xfId="0" applyFont="1" applyFill="1" applyBorder="1" applyAlignment="1">
      <alignment horizontal="left" vertical="top" wrapText="1"/>
    </xf>
    <xf numFmtId="0" fontId="17" fillId="3" borderId="5" xfId="0" applyFont="1" applyFill="1" applyBorder="1" applyAlignment="1">
      <alignment horizontal="left" vertical="top" wrapText="1"/>
    </xf>
    <xf numFmtId="0" fontId="12" fillId="0" borderId="22" xfId="0" applyFont="1" applyBorder="1" applyAlignment="1" applyProtection="1">
      <alignment horizontal="left" vertical="top" wrapText="1"/>
      <protection locked="0"/>
    </xf>
    <xf numFmtId="0" fontId="12" fillId="0" borderId="23" xfId="0" applyFont="1" applyBorder="1" applyAlignment="1" applyProtection="1">
      <alignment horizontal="left" vertical="top" wrapText="1"/>
      <protection locked="0"/>
    </xf>
    <xf numFmtId="0" fontId="12" fillId="0" borderId="10" xfId="0" applyFont="1" applyBorder="1" applyAlignment="1" applyProtection="1">
      <alignment horizontal="left" vertical="top" wrapText="1"/>
      <protection locked="0"/>
    </xf>
    <xf numFmtId="0" fontId="17" fillId="3" borderId="4" xfId="0" applyFont="1" applyFill="1" applyBorder="1" applyAlignment="1">
      <alignment horizontal="left" vertical="top"/>
    </xf>
    <xf numFmtId="0" fontId="17" fillId="3" borderId="1" xfId="0" applyFont="1" applyFill="1" applyBorder="1" applyAlignment="1">
      <alignment horizontal="left" vertical="top"/>
    </xf>
    <xf numFmtId="0" fontId="17" fillId="3" borderId="5" xfId="0" applyFont="1" applyFill="1" applyBorder="1" applyAlignment="1">
      <alignment horizontal="left" vertical="top"/>
    </xf>
    <xf numFmtId="0" fontId="2" fillId="4" borderId="0" xfId="0" applyFont="1" applyFill="1" applyAlignment="1">
      <alignment horizontal="left"/>
    </xf>
    <xf numFmtId="164" fontId="12" fillId="0" borderId="0" xfId="0" applyNumberFormat="1" applyFont="1" applyAlignment="1" applyProtection="1">
      <alignment horizontal="left" vertical="top"/>
      <protection locked="0"/>
    </xf>
    <xf numFmtId="164" fontId="12" fillId="3" borderId="0" xfId="0" applyNumberFormat="1" applyFont="1" applyFill="1" applyAlignment="1">
      <alignment horizontal="left" vertical="top"/>
    </xf>
    <xf numFmtId="0" fontId="5" fillId="4" borderId="9" xfId="0" applyFont="1" applyFill="1" applyBorder="1" applyAlignment="1">
      <alignment horizontal="center" vertical="top"/>
    </xf>
    <xf numFmtId="0" fontId="5" fillId="4" borderId="13" xfId="0" applyFont="1" applyFill="1" applyBorder="1" applyAlignment="1">
      <alignment horizontal="center" vertical="top"/>
    </xf>
    <xf numFmtId="0" fontId="2" fillId="4" borderId="21" xfId="0" applyFont="1" applyFill="1" applyBorder="1" applyAlignment="1">
      <alignment horizontal="left" vertical="top"/>
    </xf>
    <xf numFmtId="0" fontId="11" fillId="4" borderId="0" xfId="0" applyFont="1" applyFill="1" applyAlignment="1">
      <alignment horizontal="left"/>
    </xf>
  </cellXfs>
  <cellStyles count="1">
    <cellStyle name="Normal" xfId="0" builtinId="0"/>
  </cellStyles>
  <dxfs count="186">
    <dxf>
      <fill>
        <patternFill>
          <bgColor theme="0"/>
        </patternFill>
      </fill>
    </dxf>
    <dxf>
      <font>
        <color rgb="FF9C0006"/>
      </font>
      <fill>
        <patternFill>
          <bgColor rgb="FFFFC7CE"/>
        </patternFill>
      </fill>
    </dxf>
    <dxf>
      <fill>
        <patternFill>
          <bgColor theme="0"/>
        </patternFill>
      </fill>
    </dxf>
    <dxf>
      <font>
        <color rgb="FF9C0006"/>
      </font>
      <fill>
        <patternFill>
          <bgColor rgb="FFFFC7CE"/>
        </patternFill>
      </fill>
    </dxf>
    <dxf>
      <font>
        <color rgb="FF006100"/>
      </font>
      <fill>
        <patternFill>
          <bgColor rgb="FFC6EFCE"/>
        </patternFill>
      </fill>
    </dxf>
    <dxf>
      <fill>
        <patternFill>
          <bgColor theme="0" tint="-0.24994659260841701"/>
        </patternFill>
      </fill>
    </dxf>
    <dxf>
      <font>
        <color rgb="FF9C0006"/>
      </font>
      <fill>
        <patternFill>
          <bgColor rgb="FFFFC7CE"/>
        </patternFill>
      </fill>
    </dxf>
    <dxf>
      <font>
        <color rgb="FF9C5700"/>
      </font>
      <fill>
        <patternFill>
          <bgColor rgb="FFFFEB9C"/>
        </patternFill>
      </fill>
    </dxf>
    <dxf>
      <font>
        <color theme="0"/>
      </font>
      <fill>
        <patternFill>
          <bgColor theme="9"/>
        </patternFill>
      </fill>
    </dxf>
    <dxf>
      <font>
        <color rgb="FF006100"/>
      </font>
      <fill>
        <patternFill>
          <bgColor rgb="FFC6EFCE"/>
        </patternFill>
      </fill>
    </dxf>
    <dxf>
      <fill>
        <patternFill>
          <bgColor theme="0" tint="-0.24994659260841701"/>
        </patternFill>
      </fill>
    </dxf>
    <dxf>
      <font>
        <color rgb="FF9C0006"/>
      </font>
      <fill>
        <patternFill>
          <bgColor rgb="FFFFC7CE"/>
        </patternFill>
      </fill>
    </dxf>
    <dxf>
      <font>
        <color rgb="FF9C5700"/>
      </font>
      <fill>
        <patternFill>
          <bgColor rgb="FFFFEB9C"/>
        </patternFill>
      </fill>
    </dxf>
    <dxf>
      <font>
        <color theme="0"/>
      </font>
      <fill>
        <patternFill>
          <bgColor theme="9"/>
        </patternFill>
      </fill>
    </dxf>
    <dxf>
      <font>
        <color rgb="FF006100"/>
      </font>
      <fill>
        <patternFill>
          <bgColor rgb="FFC6EFCE"/>
        </patternFill>
      </fill>
    </dxf>
    <dxf>
      <font>
        <color theme="0"/>
      </font>
      <fill>
        <patternFill>
          <bgColor theme="9"/>
        </patternFill>
      </fill>
    </dxf>
    <dxf>
      <font>
        <color rgb="FF9C0006"/>
      </font>
      <fill>
        <patternFill>
          <bgColor rgb="FFFFC7CE"/>
        </patternFill>
      </fill>
    </dxf>
    <dxf>
      <font>
        <color rgb="FF9C5700"/>
      </font>
      <fill>
        <patternFill>
          <bgColor rgb="FFFFEB9C"/>
        </patternFill>
      </fill>
    </dxf>
    <dxf>
      <fill>
        <patternFill>
          <bgColor theme="0" tint="-0.24994659260841701"/>
        </patternFill>
      </fill>
    </dxf>
    <dxf>
      <font>
        <color rgb="FF006100"/>
      </font>
      <fill>
        <patternFill>
          <bgColor rgb="FFC6EFCE"/>
        </patternFill>
      </fill>
    </dxf>
    <dxf>
      <fill>
        <patternFill>
          <bgColor theme="0" tint="-0.24994659260841701"/>
        </patternFill>
      </fill>
    </dxf>
    <dxf>
      <font>
        <color rgb="FF9C0006"/>
      </font>
      <fill>
        <patternFill>
          <bgColor rgb="FFFFC7CE"/>
        </patternFill>
      </fill>
    </dxf>
    <dxf>
      <font>
        <color rgb="FF9C5700"/>
      </font>
      <fill>
        <patternFill>
          <bgColor rgb="FFFFEB9C"/>
        </patternFill>
      </fill>
    </dxf>
    <dxf>
      <font>
        <color theme="0"/>
      </font>
      <fill>
        <patternFill>
          <bgColor theme="9"/>
        </patternFill>
      </fill>
    </dxf>
    <dxf>
      <font>
        <color rgb="FF006100"/>
      </font>
      <fill>
        <patternFill>
          <bgColor rgb="FFC6EFCE"/>
        </patternFill>
      </fill>
    </dxf>
    <dxf>
      <font>
        <color theme="0"/>
      </font>
      <fill>
        <patternFill>
          <bgColor theme="9"/>
        </patternFill>
      </fill>
    </dxf>
    <dxf>
      <font>
        <color rgb="FF9C0006"/>
      </font>
      <fill>
        <patternFill>
          <bgColor rgb="FFFFC7CE"/>
        </patternFill>
      </fill>
    </dxf>
    <dxf>
      <font>
        <color rgb="FF9C5700"/>
      </font>
      <fill>
        <patternFill>
          <bgColor rgb="FFFFEB9C"/>
        </patternFill>
      </fill>
    </dxf>
    <dxf>
      <fill>
        <patternFill>
          <bgColor theme="0" tint="-0.24994659260841701"/>
        </patternFill>
      </fill>
    </dxf>
    <dxf>
      <font>
        <color rgb="FF006100"/>
      </font>
      <fill>
        <patternFill>
          <bgColor rgb="FFC6EFCE"/>
        </patternFill>
      </fill>
    </dxf>
    <dxf>
      <fill>
        <patternFill>
          <bgColor theme="0" tint="-0.24994659260841701"/>
        </patternFill>
      </fill>
    </dxf>
    <dxf>
      <font>
        <color rgb="FF9C0006"/>
      </font>
      <fill>
        <patternFill>
          <bgColor rgb="FFFFC7CE"/>
        </patternFill>
      </fill>
    </dxf>
    <dxf>
      <font>
        <color rgb="FF9C5700"/>
      </font>
      <fill>
        <patternFill>
          <bgColor rgb="FFFFEB9C"/>
        </patternFill>
      </fill>
    </dxf>
    <dxf>
      <font>
        <color theme="0"/>
      </font>
      <fill>
        <patternFill>
          <bgColor theme="9"/>
        </patternFill>
      </fill>
    </dxf>
    <dxf>
      <font>
        <color rgb="FF006100"/>
      </font>
      <fill>
        <patternFill>
          <bgColor rgb="FFC6EFCE"/>
        </patternFill>
      </fill>
    </dxf>
    <dxf>
      <fill>
        <patternFill>
          <bgColor theme="0" tint="-0.24994659260841701"/>
        </patternFill>
      </fill>
    </dxf>
    <dxf>
      <font>
        <color rgb="FF9C0006"/>
      </font>
      <fill>
        <patternFill>
          <bgColor rgb="FFFFC7CE"/>
        </patternFill>
      </fill>
    </dxf>
    <dxf>
      <font>
        <color rgb="FF9C5700"/>
      </font>
      <fill>
        <patternFill>
          <bgColor rgb="FFFFEB9C"/>
        </patternFill>
      </fill>
    </dxf>
    <dxf>
      <font>
        <color theme="0"/>
      </font>
      <fill>
        <patternFill>
          <bgColor theme="9"/>
        </patternFill>
      </fill>
    </dxf>
    <dxf>
      <font>
        <color rgb="FF006100"/>
      </font>
      <fill>
        <patternFill>
          <bgColor rgb="FFC6EFCE"/>
        </patternFill>
      </fill>
    </dxf>
    <dxf>
      <fill>
        <patternFill>
          <bgColor theme="0" tint="-0.24994659260841701"/>
        </patternFill>
      </fill>
    </dxf>
    <dxf>
      <font>
        <color rgb="FF9C0006"/>
      </font>
      <fill>
        <patternFill>
          <bgColor rgb="FFFFC7CE"/>
        </patternFill>
      </fill>
    </dxf>
    <dxf>
      <font>
        <color rgb="FF9C5700"/>
      </font>
      <fill>
        <patternFill>
          <bgColor rgb="FFFFEB9C"/>
        </patternFill>
      </fill>
    </dxf>
    <dxf>
      <font>
        <color theme="0"/>
      </font>
      <fill>
        <patternFill>
          <bgColor theme="9"/>
        </patternFill>
      </fill>
    </dxf>
    <dxf>
      <font>
        <color rgb="FF006100"/>
      </font>
      <fill>
        <patternFill>
          <bgColor rgb="FFC6EFCE"/>
        </patternFill>
      </fill>
    </dxf>
    <dxf>
      <fill>
        <patternFill>
          <bgColor theme="0" tint="-0.24994659260841701"/>
        </patternFill>
      </fill>
    </dxf>
    <dxf>
      <font>
        <color theme="0"/>
      </font>
      <fill>
        <patternFill>
          <bgColor theme="9"/>
        </patternFill>
      </fill>
    </dxf>
    <dxf>
      <font>
        <color rgb="FF9C0006"/>
      </font>
      <fill>
        <patternFill>
          <bgColor rgb="FFFFC7CE"/>
        </patternFill>
      </fill>
    </dxf>
    <dxf>
      <font>
        <color rgb="FF9C5700"/>
      </font>
      <fill>
        <patternFill>
          <bgColor rgb="FFFFEB9C"/>
        </patternFill>
      </fill>
    </dxf>
    <dxf>
      <font>
        <color rgb="FF006100"/>
      </font>
      <fill>
        <patternFill>
          <bgColor rgb="FFC6EFCE"/>
        </patternFill>
      </fill>
    </dxf>
    <dxf>
      <fill>
        <patternFill>
          <bgColor theme="0" tint="-0.24994659260841701"/>
        </patternFill>
      </fill>
    </dxf>
    <dxf>
      <font>
        <color rgb="FF9C0006"/>
      </font>
      <fill>
        <patternFill>
          <bgColor rgb="FFFFC7CE"/>
        </patternFill>
      </fill>
    </dxf>
    <dxf>
      <font>
        <color rgb="FF9C5700"/>
      </font>
      <fill>
        <patternFill>
          <bgColor rgb="FFFFEB9C"/>
        </patternFill>
      </fill>
    </dxf>
    <dxf>
      <font>
        <color theme="0"/>
      </font>
      <fill>
        <patternFill>
          <bgColor theme="9"/>
        </patternFill>
      </fill>
    </dxf>
    <dxf>
      <font>
        <color rgb="FF006100"/>
      </font>
      <fill>
        <patternFill>
          <bgColor rgb="FFC6EFCE"/>
        </patternFill>
      </fill>
    </dxf>
    <dxf>
      <fill>
        <patternFill>
          <bgColor theme="0" tint="-0.24994659260841701"/>
        </patternFill>
      </fill>
    </dxf>
    <dxf>
      <font>
        <color rgb="FF9C0006"/>
      </font>
      <fill>
        <patternFill>
          <bgColor rgb="FFFFC7CE"/>
        </patternFill>
      </fill>
    </dxf>
    <dxf>
      <font>
        <color rgb="FF9C5700"/>
      </font>
      <fill>
        <patternFill>
          <bgColor rgb="FFFFEB9C"/>
        </patternFill>
      </fill>
    </dxf>
    <dxf>
      <font>
        <color theme="0"/>
      </font>
      <fill>
        <patternFill>
          <bgColor theme="9"/>
        </patternFill>
      </fill>
    </dxf>
    <dxf>
      <font>
        <color rgb="FF006100"/>
      </font>
      <fill>
        <patternFill>
          <bgColor rgb="FFC6EFCE"/>
        </patternFill>
      </fill>
    </dxf>
    <dxf>
      <font>
        <color theme="0"/>
      </font>
      <fill>
        <patternFill>
          <bgColor theme="9"/>
        </patternFill>
      </fill>
    </dxf>
    <dxf>
      <font>
        <color rgb="FF9C0006"/>
      </font>
      <fill>
        <patternFill>
          <bgColor rgb="FFFFC7CE"/>
        </patternFill>
      </fill>
    </dxf>
    <dxf>
      <font>
        <color rgb="FF9C5700"/>
      </font>
      <fill>
        <patternFill>
          <bgColor rgb="FFFFEB9C"/>
        </patternFill>
      </fill>
    </dxf>
    <dxf>
      <fill>
        <patternFill>
          <bgColor theme="0" tint="-0.24994659260841701"/>
        </patternFill>
      </fill>
    </dxf>
    <dxf>
      <font>
        <color rgb="FF006100"/>
      </font>
      <fill>
        <patternFill>
          <bgColor rgb="FFC6EFCE"/>
        </patternFill>
      </fill>
    </dxf>
    <dxf>
      <fill>
        <patternFill>
          <bgColor theme="0" tint="-0.24994659260841701"/>
        </patternFill>
      </fill>
    </dxf>
    <dxf>
      <font>
        <color rgb="FF9C0006"/>
      </font>
      <fill>
        <patternFill>
          <bgColor rgb="FFFFC7CE"/>
        </patternFill>
      </fill>
    </dxf>
    <dxf>
      <font>
        <color rgb="FF9C5700"/>
      </font>
      <fill>
        <patternFill>
          <bgColor rgb="FFFFEB9C"/>
        </patternFill>
      </fill>
    </dxf>
    <dxf>
      <font>
        <color theme="0"/>
      </font>
      <fill>
        <patternFill>
          <bgColor theme="9"/>
        </patternFill>
      </fill>
    </dxf>
    <dxf>
      <font>
        <color theme="0"/>
      </font>
      <fill>
        <patternFill>
          <bgColor theme="9"/>
        </patternFill>
      </fill>
    </dxf>
    <dxf>
      <fill>
        <patternFill>
          <bgColor theme="0" tint="-0.24994659260841701"/>
        </patternFill>
      </fill>
    </dxf>
    <dxf>
      <font>
        <color rgb="FF9C0006"/>
      </font>
      <fill>
        <patternFill>
          <bgColor rgb="FFFFC7CE"/>
        </patternFill>
      </fill>
    </dxf>
    <dxf>
      <font>
        <color rgb="FF9C5700"/>
      </font>
      <fill>
        <patternFill>
          <bgColor rgb="FFFFEB9C"/>
        </patternFill>
      </fill>
    </dxf>
    <dxf>
      <font>
        <color rgb="FF006100"/>
      </font>
      <fill>
        <patternFill>
          <bgColor rgb="FFC6EFCE"/>
        </patternFill>
      </fill>
    </dxf>
    <dxf>
      <font>
        <color rgb="FF006100"/>
      </font>
      <fill>
        <patternFill>
          <bgColor rgb="FFC6EFCE"/>
        </patternFill>
      </fill>
    </dxf>
    <dxf>
      <fill>
        <patternFill>
          <bgColor theme="0" tint="-0.24994659260841701"/>
        </patternFill>
      </fill>
    </dxf>
    <dxf>
      <font>
        <color rgb="FF9C0006"/>
      </font>
      <fill>
        <patternFill>
          <bgColor rgb="FFFFC7CE"/>
        </patternFill>
      </fill>
    </dxf>
    <dxf>
      <font>
        <color rgb="FF9C5700"/>
      </font>
      <fill>
        <patternFill>
          <bgColor rgb="FFFFEB9C"/>
        </patternFill>
      </fill>
    </dxf>
    <dxf>
      <font>
        <color theme="0"/>
      </font>
      <fill>
        <patternFill>
          <bgColor theme="9"/>
        </patternFill>
      </fill>
    </dxf>
    <dxf>
      <font>
        <color rgb="FF006100"/>
      </font>
      <fill>
        <patternFill>
          <bgColor rgb="FFC6EFCE"/>
        </patternFill>
      </fill>
    </dxf>
    <dxf>
      <fill>
        <patternFill>
          <bgColor theme="0" tint="-0.24994659260841701"/>
        </patternFill>
      </fill>
    </dxf>
    <dxf>
      <font>
        <color rgb="FF9C0006"/>
      </font>
      <fill>
        <patternFill>
          <bgColor rgb="FFFFC7CE"/>
        </patternFill>
      </fill>
    </dxf>
    <dxf>
      <font>
        <color rgb="FF9C5700"/>
      </font>
      <fill>
        <patternFill>
          <bgColor rgb="FFFFEB9C"/>
        </patternFill>
      </fill>
    </dxf>
    <dxf>
      <font>
        <color theme="0"/>
      </font>
      <fill>
        <patternFill>
          <bgColor theme="9"/>
        </patternFill>
      </fill>
    </dxf>
    <dxf>
      <font>
        <color theme="0"/>
      </font>
      <fill>
        <patternFill>
          <bgColor theme="9"/>
        </patternFill>
      </fill>
    </dxf>
    <dxf>
      <font>
        <color theme="5" tint="-0.24994659260841701"/>
      </font>
      <fill>
        <patternFill>
          <bgColor theme="7"/>
        </patternFill>
      </fill>
    </dxf>
    <dxf>
      <font>
        <color theme="0"/>
      </font>
      <fill>
        <patternFill>
          <bgColor rgb="FFFF0000"/>
        </patternFill>
      </fill>
    </dxf>
    <dxf>
      <font>
        <color auto="1"/>
      </font>
      <fill>
        <patternFill patternType="none">
          <bgColor auto="1"/>
        </patternFill>
      </fill>
    </dxf>
    <dxf>
      <fill>
        <patternFill>
          <bgColor theme="0" tint="-0.24994659260841701"/>
        </patternFill>
      </fill>
    </dxf>
    <dxf>
      <font>
        <color rgb="FF006100"/>
      </font>
      <fill>
        <patternFill>
          <bgColor rgb="FFC6EFCE"/>
        </patternFill>
      </fill>
    </dxf>
    <dxf>
      <fill>
        <patternFill>
          <bgColor theme="0" tint="-0.24994659260841701"/>
        </patternFill>
      </fill>
    </dxf>
    <dxf>
      <font>
        <color rgb="FF9C0006"/>
      </font>
      <fill>
        <patternFill>
          <bgColor rgb="FFFFC7CE"/>
        </patternFill>
      </fill>
    </dxf>
    <dxf>
      <font>
        <color rgb="FF9C5700"/>
      </font>
      <fill>
        <patternFill>
          <bgColor rgb="FFFFEB9C"/>
        </patternFill>
      </fill>
    </dxf>
    <dxf>
      <font>
        <color theme="0"/>
      </font>
      <fill>
        <patternFill>
          <bgColor theme="9"/>
        </patternFill>
      </fill>
    </dxf>
    <dxf>
      <font>
        <color rgb="FF006100"/>
      </font>
      <fill>
        <patternFill>
          <bgColor rgb="FFC6EFCE"/>
        </patternFill>
      </fill>
    </dxf>
    <dxf>
      <fill>
        <patternFill>
          <bgColor theme="0" tint="-0.24994659260841701"/>
        </patternFill>
      </fill>
    </dxf>
    <dxf>
      <font>
        <color rgb="FF9C0006"/>
      </font>
      <fill>
        <patternFill>
          <bgColor rgb="FFFFC7CE"/>
        </patternFill>
      </fill>
    </dxf>
    <dxf>
      <font>
        <color rgb="FF9C5700"/>
      </font>
      <fill>
        <patternFill>
          <bgColor rgb="FFFFEB9C"/>
        </patternFill>
      </fill>
    </dxf>
    <dxf>
      <font>
        <color theme="0"/>
      </font>
      <fill>
        <patternFill>
          <bgColor theme="9"/>
        </patternFill>
      </fill>
    </dxf>
    <dxf>
      <font>
        <color rgb="FF006100"/>
      </font>
      <fill>
        <patternFill>
          <bgColor rgb="FFC6EFCE"/>
        </patternFill>
      </fill>
    </dxf>
    <dxf>
      <font>
        <color theme="0"/>
      </font>
      <fill>
        <patternFill>
          <bgColor theme="9"/>
        </patternFill>
      </fill>
    </dxf>
    <dxf>
      <font>
        <color rgb="FF9C0006"/>
      </font>
      <fill>
        <patternFill>
          <bgColor rgb="FFFFC7CE"/>
        </patternFill>
      </fill>
    </dxf>
    <dxf>
      <font>
        <color rgb="FF9C5700"/>
      </font>
      <fill>
        <patternFill>
          <bgColor rgb="FFFFEB9C"/>
        </patternFill>
      </fill>
    </dxf>
    <dxf>
      <fill>
        <patternFill>
          <bgColor theme="0" tint="-0.24994659260841701"/>
        </patternFill>
      </fill>
    </dxf>
    <dxf>
      <font>
        <color rgb="FF006100"/>
      </font>
      <fill>
        <patternFill>
          <bgColor rgb="FFC6EFCE"/>
        </patternFill>
      </fill>
    </dxf>
    <dxf>
      <fill>
        <patternFill>
          <bgColor theme="0" tint="-0.24994659260841701"/>
        </patternFill>
      </fill>
    </dxf>
    <dxf>
      <font>
        <color rgb="FF9C0006"/>
      </font>
      <fill>
        <patternFill>
          <bgColor rgb="FFFFC7CE"/>
        </patternFill>
      </fill>
    </dxf>
    <dxf>
      <font>
        <color rgb="FF9C5700"/>
      </font>
      <fill>
        <patternFill>
          <bgColor rgb="FFFFEB9C"/>
        </patternFill>
      </fill>
    </dxf>
    <dxf>
      <font>
        <color theme="0"/>
      </font>
      <fill>
        <patternFill>
          <bgColor theme="9"/>
        </patternFill>
      </fill>
    </dxf>
    <dxf>
      <font>
        <color rgb="FF006100"/>
      </font>
      <fill>
        <patternFill>
          <bgColor rgb="FFC6EFCE"/>
        </patternFill>
      </fill>
    </dxf>
    <dxf>
      <font>
        <color theme="0"/>
      </font>
      <fill>
        <patternFill>
          <bgColor theme="9"/>
        </patternFill>
      </fill>
    </dxf>
    <dxf>
      <font>
        <color rgb="FF9C0006"/>
      </font>
      <fill>
        <patternFill>
          <bgColor rgb="FFFFC7CE"/>
        </patternFill>
      </fill>
    </dxf>
    <dxf>
      <font>
        <color rgb="FF9C5700"/>
      </font>
      <fill>
        <patternFill>
          <bgColor rgb="FFFFEB9C"/>
        </patternFill>
      </fill>
    </dxf>
    <dxf>
      <fill>
        <patternFill>
          <bgColor theme="0" tint="-0.24994659260841701"/>
        </patternFill>
      </fill>
    </dxf>
    <dxf>
      <font>
        <color rgb="FF006100"/>
      </font>
      <fill>
        <patternFill>
          <bgColor rgb="FFC6EFCE"/>
        </patternFill>
      </fill>
    </dxf>
    <dxf>
      <fill>
        <patternFill>
          <bgColor theme="0" tint="-0.24994659260841701"/>
        </patternFill>
      </fill>
    </dxf>
    <dxf>
      <font>
        <color rgb="FF9C0006"/>
      </font>
      <fill>
        <patternFill>
          <bgColor rgb="FFFFC7CE"/>
        </patternFill>
      </fill>
    </dxf>
    <dxf>
      <font>
        <color rgb="FF9C5700"/>
      </font>
      <fill>
        <patternFill>
          <bgColor rgb="FFFFEB9C"/>
        </patternFill>
      </fill>
    </dxf>
    <dxf>
      <font>
        <color theme="0"/>
      </font>
      <fill>
        <patternFill>
          <bgColor theme="9"/>
        </patternFill>
      </fill>
    </dxf>
    <dxf>
      <font>
        <color rgb="FF006100"/>
      </font>
      <fill>
        <patternFill>
          <bgColor rgb="FFC6EFCE"/>
        </patternFill>
      </fill>
    </dxf>
    <dxf>
      <fill>
        <patternFill>
          <bgColor theme="0" tint="-0.24994659260841701"/>
        </patternFill>
      </fill>
    </dxf>
    <dxf>
      <font>
        <color rgb="FF9C0006"/>
      </font>
      <fill>
        <patternFill>
          <bgColor rgb="FFFFC7CE"/>
        </patternFill>
      </fill>
    </dxf>
    <dxf>
      <font>
        <color rgb="FF9C5700"/>
      </font>
      <fill>
        <patternFill>
          <bgColor rgb="FFFFEB9C"/>
        </patternFill>
      </fill>
    </dxf>
    <dxf>
      <font>
        <color theme="0"/>
      </font>
      <fill>
        <patternFill>
          <bgColor theme="9"/>
        </patternFill>
      </fill>
    </dxf>
    <dxf>
      <font>
        <color rgb="FF006100"/>
      </font>
      <fill>
        <patternFill>
          <bgColor rgb="FFC6EFCE"/>
        </patternFill>
      </fill>
    </dxf>
    <dxf>
      <fill>
        <patternFill>
          <bgColor theme="0" tint="-0.24994659260841701"/>
        </patternFill>
      </fill>
    </dxf>
    <dxf>
      <font>
        <color rgb="FF9C0006"/>
      </font>
      <fill>
        <patternFill>
          <bgColor rgb="FFFFC7CE"/>
        </patternFill>
      </fill>
    </dxf>
    <dxf>
      <font>
        <color rgb="FF9C5700"/>
      </font>
      <fill>
        <patternFill>
          <bgColor rgb="FFFFEB9C"/>
        </patternFill>
      </fill>
    </dxf>
    <dxf>
      <font>
        <color theme="0"/>
      </font>
      <fill>
        <patternFill>
          <bgColor theme="9"/>
        </patternFill>
      </fill>
    </dxf>
    <dxf>
      <font>
        <color rgb="FF006100"/>
      </font>
      <fill>
        <patternFill>
          <bgColor rgb="FFC6EFCE"/>
        </patternFill>
      </fill>
    </dxf>
    <dxf>
      <fill>
        <patternFill>
          <bgColor theme="0" tint="-0.24994659260841701"/>
        </patternFill>
      </fill>
    </dxf>
    <dxf>
      <font>
        <color theme="0"/>
      </font>
      <fill>
        <patternFill>
          <bgColor theme="9"/>
        </patternFill>
      </fill>
    </dxf>
    <dxf>
      <font>
        <color rgb="FF9C0006"/>
      </font>
      <fill>
        <patternFill>
          <bgColor rgb="FFFFC7CE"/>
        </patternFill>
      </fill>
    </dxf>
    <dxf>
      <font>
        <color rgb="FF9C5700"/>
      </font>
      <fill>
        <patternFill>
          <bgColor rgb="FFFFEB9C"/>
        </patternFill>
      </fill>
    </dxf>
    <dxf>
      <font>
        <color rgb="FF006100"/>
      </font>
      <fill>
        <patternFill>
          <bgColor rgb="FFC6EFCE"/>
        </patternFill>
      </fill>
    </dxf>
    <dxf>
      <fill>
        <patternFill>
          <bgColor theme="0" tint="-0.24994659260841701"/>
        </patternFill>
      </fill>
    </dxf>
    <dxf>
      <font>
        <color rgb="FF9C0006"/>
      </font>
      <fill>
        <patternFill>
          <bgColor rgb="FFFFC7CE"/>
        </patternFill>
      </fill>
    </dxf>
    <dxf>
      <font>
        <color rgb="FF9C5700"/>
      </font>
      <fill>
        <patternFill>
          <bgColor rgb="FFFFEB9C"/>
        </patternFill>
      </fill>
    </dxf>
    <dxf>
      <font>
        <color theme="0"/>
      </font>
      <fill>
        <patternFill>
          <bgColor theme="9"/>
        </patternFill>
      </fill>
    </dxf>
    <dxf>
      <font>
        <color rgb="FF006100"/>
      </font>
      <fill>
        <patternFill>
          <bgColor rgb="FFC6EFCE"/>
        </patternFill>
      </fill>
    </dxf>
    <dxf>
      <fill>
        <patternFill>
          <bgColor theme="0" tint="-0.24994659260841701"/>
        </patternFill>
      </fill>
    </dxf>
    <dxf>
      <font>
        <color rgb="FF9C0006"/>
      </font>
      <fill>
        <patternFill>
          <bgColor rgb="FFFFC7CE"/>
        </patternFill>
      </fill>
    </dxf>
    <dxf>
      <font>
        <color rgb="FF9C5700"/>
      </font>
      <fill>
        <patternFill>
          <bgColor rgb="FFFFEB9C"/>
        </patternFill>
      </fill>
    </dxf>
    <dxf>
      <font>
        <color theme="0"/>
      </font>
      <fill>
        <patternFill>
          <bgColor theme="9"/>
        </patternFill>
      </fill>
    </dxf>
    <dxf>
      <font>
        <color rgb="FF006100"/>
      </font>
      <fill>
        <patternFill>
          <bgColor rgb="FFC6EFCE"/>
        </patternFill>
      </fill>
    </dxf>
    <dxf>
      <font>
        <color theme="0"/>
      </font>
      <fill>
        <patternFill>
          <bgColor theme="9"/>
        </patternFill>
      </fill>
    </dxf>
    <dxf>
      <font>
        <color rgb="FF9C0006"/>
      </font>
      <fill>
        <patternFill>
          <bgColor rgb="FFFFC7CE"/>
        </patternFill>
      </fill>
    </dxf>
    <dxf>
      <font>
        <color rgb="FF9C5700"/>
      </font>
      <fill>
        <patternFill>
          <bgColor rgb="FFFFEB9C"/>
        </patternFill>
      </fill>
    </dxf>
    <dxf>
      <fill>
        <patternFill>
          <bgColor theme="0" tint="-0.24994659260841701"/>
        </patternFill>
      </fill>
    </dxf>
    <dxf>
      <font>
        <color rgb="FF006100"/>
      </font>
      <fill>
        <patternFill>
          <bgColor rgb="FFC6EFCE"/>
        </patternFill>
      </fill>
    </dxf>
    <dxf>
      <fill>
        <patternFill>
          <bgColor theme="0" tint="-0.24994659260841701"/>
        </patternFill>
      </fill>
    </dxf>
    <dxf>
      <font>
        <color rgb="FF9C0006"/>
      </font>
      <fill>
        <patternFill>
          <bgColor rgb="FFFFC7CE"/>
        </patternFill>
      </fill>
    </dxf>
    <dxf>
      <font>
        <color rgb="FF9C5700"/>
      </font>
      <fill>
        <patternFill>
          <bgColor rgb="FFFFEB9C"/>
        </patternFill>
      </fill>
    </dxf>
    <dxf>
      <font>
        <color theme="0"/>
      </font>
      <fill>
        <patternFill>
          <bgColor theme="9"/>
        </patternFill>
      </fill>
    </dxf>
    <dxf>
      <font>
        <color theme="0"/>
      </font>
      <fill>
        <patternFill>
          <bgColor theme="9"/>
        </patternFill>
      </fill>
    </dxf>
    <dxf>
      <fill>
        <patternFill>
          <bgColor theme="0" tint="-0.24994659260841701"/>
        </patternFill>
      </fill>
    </dxf>
    <dxf>
      <font>
        <color rgb="FF9C0006"/>
      </font>
      <fill>
        <patternFill>
          <bgColor rgb="FFFFC7CE"/>
        </patternFill>
      </fill>
    </dxf>
    <dxf>
      <font>
        <color rgb="FF9C5700"/>
      </font>
      <fill>
        <patternFill>
          <bgColor rgb="FFFFEB9C"/>
        </patternFill>
      </fill>
    </dxf>
    <dxf>
      <font>
        <color rgb="FF006100"/>
      </font>
      <fill>
        <patternFill>
          <bgColor rgb="FFC6EFCE"/>
        </patternFill>
      </fill>
    </dxf>
    <dxf>
      <font>
        <color rgb="FF006100"/>
      </font>
      <fill>
        <patternFill>
          <bgColor rgb="FFC6EFCE"/>
        </patternFill>
      </fill>
    </dxf>
    <dxf>
      <fill>
        <patternFill>
          <bgColor theme="0" tint="-0.24994659260841701"/>
        </patternFill>
      </fill>
    </dxf>
    <dxf>
      <font>
        <color rgb="FF9C0006"/>
      </font>
      <fill>
        <patternFill>
          <bgColor rgb="FFFFC7CE"/>
        </patternFill>
      </fill>
    </dxf>
    <dxf>
      <font>
        <color rgb="FF9C5700"/>
      </font>
      <fill>
        <patternFill>
          <bgColor rgb="FFFFEB9C"/>
        </patternFill>
      </fill>
    </dxf>
    <dxf>
      <font>
        <color theme="0"/>
      </font>
      <fill>
        <patternFill>
          <bgColor theme="9"/>
        </patternFill>
      </fill>
    </dxf>
    <dxf>
      <font>
        <color rgb="FF006100"/>
      </font>
      <fill>
        <patternFill>
          <bgColor rgb="FFC6EFCE"/>
        </patternFill>
      </fill>
    </dxf>
    <dxf>
      <fill>
        <patternFill>
          <bgColor theme="0" tint="-0.24994659260841701"/>
        </patternFill>
      </fill>
    </dxf>
    <dxf>
      <font>
        <color rgb="FF9C0006"/>
      </font>
      <fill>
        <patternFill>
          <bgColor rgb="FFFFC7CE"/>
        </patternFill>
      </fill>
    </dxf>
    <dxf>
      <font>
        <color rgb="FF9C5700"/>
      </font>
      <fill>
        <patternFill>
          <bgColor rgb="FFFFEB9C"/>
        </patternFill>
      </fill>
    </dxf>
    <dxf>
      <font>
        <color theme="0"/>
      </font>
      <fill>
        <patternFill>
          <bgColor theme="9"/>
        </patternFill>
      </fill>
    </dxf>
    <dxf>
      <font>
        <color theme="0"/>
      </font>
      <fill>
        <patternFill>
          <bgColor theme="9"/>
        </patternFill>
      </fill>
    </dxf>
    <dxf>
      <font>
        <color theme="5" tint="-0.24994659260841701"/>
      </font>
      <fill>
        <patternFill>
          <bgColor theme="7"/>
        </patternFill>
      </fill>
    </dxf>
    <dxf>
      <font>
        <color theme="0"/>
      </font>
      <fill>
        <patternFill>
          <bgColor rgb="FFFF0000"/>
        </patternFill>
      </fill>
    </dxf>
    <dxf>
      <font>
        <color auto="1"/>
      </font>
      <fill>
        <patternFill patternType="none">
          <bgColor auto="1"/>
        </patternFill>
      </fill>
    </dxf>
    <dxf>
      <fill>
        <patternFill>
          <bgColor theme="0" tint="-0.24994659260841701"/>
        </patternFill>
      </fill>
    </dxf>
    <dxf>
      <font>
        <color rgb="FF006100"/>
      </font>
      <fill>
        <patternFill>
          <bgColor rgb="FFC6EFCE"/>
        </patternFill>
      </fill>
    </dxf>
    <dxf>
      <font>
        <color rgb="FF9C5700"/>
      </font>
      <fill>
        <patternFill>
          <bgColor rgb="FFFFEB9C"/>
        </patternFill>
      </fill>
    </dxf>
    <dxf>
      <font>
        <color rgb="FF9C0006"/>
      </font>
      <fill>
        <patternFill>
          <bgColor rgb="FFFFC7CE"/>
        </patternFill>
      </fill>
    </dxf>
    <dxf>
      <font>
        <color rgb="FF006100"/>
      </font>
      <fill>
        <patternFill>
          <bgColor rgb="FFC6EFCE"/>
        </patternFill>
      </fill>
    </dxf>
    <dxf>
      <font>
        <color rgb="FF9C5700"/>
      </font>
      <fill>
        <patternFill>
          <bgColor rgb="FFFFEB9C"/>
        </patternFill>
      </fill>
    </dxf>
    <dxf>
      <font>
        <color rgb="FF9C0006"/>
      </font>
      <fill>
        <patternFill>
          <bgColor rgb="FFFFC7CE"/>
        </patternFill>
      </fill>
    </dxf>
    <dxf>
      <font>
        <color rgb="FF006100"/>
      </font>
      <fill>
        <patternFill>
          <bgColor rgb="FFC6EFCE"/>
        </patternFill>
      </fill>
    </dxf>
    <dxf>
      <font>
        <color rgb="FF9C5700"/>
      </font>
      <fill>
        <patternFill>
          <bgColor rgb="FFFFEB9C"/>
        </patternFill>
      </fill>
    </dxf>
    <dxf>
      <font>
        <color rgb="FF9C0006"/>
      </font>
      <fill>
        <patternFill>
          <bgColor rgb="FFFFC7CE"/>
        </patternFill>
      </fill>
    </dxf>
    <dxf>
      <font>
        <color rgb="FF006100"/>
      </font>
      <fill>
        <patternFill>
          <bgColor rgb="FFC6EFCE"/>
        </patternFill>
      </fill>
    </dxf>
    <dxf>
      <font>
        <color rgb="FF9C5700"/>
      </font>
      <fill>
        <patternFill>
          <bgColor rgb="FFFFEB9C"/>
        </patternFill>
      </fill>
    </dxf>
    <dxf>
      <font>
        <color rgb="FF9C0006"/>
      </font>
      <fill>
        <patternFill>
          <bgColor rgb="FFFFC7CE"/>
        </patternFill>
      </fill>
    </dxf>
  </dxfs>
  <tableStyles count="0" defaultTableStyle="TableStyleMedium2" defaultPivotStyle="PivotStyleLight16"/>
  <colors>
    <mruColors>
      <color rgb="FFFF5050"/>
    </mruColors>
  </colors>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sharedStrings" Target="sharedStrings.xml"/><Relationship Id="rId13" Type="http://schemas.openxmlformats.org/officeDocument/2006/relationships/customXml" Target="../customXml/item4.xml"/><Relationship Id="rId3" Type="http://schemas.openxmlformats.org/officeDocument/2006/relationships/worksheet" Target="worksheets/sheet3.xml"/><Relationship Id="rId7" Type="http://schemas.openxmlformats.org/officeDocument/2006/relationships/styles" Target="styles.xml"/><Relationship Id="rId12" Type="http://schemas.openxmlformats.org/officeDocument/2006/relationships/customXml" Target="../customXml/item3.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theme" Target="theme/theme1.xml"/><Relationship Id="rId11" Type="http://schemas.openxmlformats.org/officeDocument/2006/relationships/customXml" Target="../customXml/item2.xml"/><Relationship Id="rId5" Type="http://schemas.openxmlformats.org/officeDocument/2006/relationships/worksheet" Target="worksheets/sheet5.xml"/><Relationship Id="rId10" Type="http://schemas.openxmlformats.org/officeDocument/2006/relationships/customXml" Target="../customXml/item1.xml"/><Relationship Id="rId4" Type="http://schemas.openxmlformats.org/officeDocument/2006/relationships/worksheet" Target="worksheets/sheet4.xml"/><Relationship Id="rId9" Type="http://schemas.openxmlformats.org/officeDocument/2006/relationships/calcChain" Target="calcChain.xml"/></Relationships>
</file>

<file path=xl/theme/theme1.xml><?xml version="1.0" encoding="utf-8"?>
<a:theme xmlns:a="http://schemas.openxmlformats.org/drawingml/2006/main" name="Office 2013 - 2022 Theme">
  <a:themeElements>
    <a:clrScheme name="Office 2013 - 2022">
      <a:dk1>
        <a:sysClr val="windowText" lastClr="000000"/>
      </a:dk1>
      <a:lt1>
        <a:sysClr val="window" lastClr="FFFFFF"/>
      </a:lt1>
      <a:dk2>
        <a:srgbClr val="44546A"/>
      </a:dk2>
      <a:lt2>
        <a:srgbClr val="E7E6E6"/>
      </a:lt2>
      <a:accent1>
        <a:srgbClr val="4472C4"/>
      </a:accent1>
      <a:accent2>
        <a:srgbClr val="ED7D31"/>
      </a:accent2>
      <a:accent3>
        <a:srgbClr val="A5A5A5"/>
      </a:accent3>
      <a:accent4>
        <a:srgbClr val="FFC000"/>
      </a:accent4>
      <a:accent5>
        <a:srgbClr val="5B9BD5"/>
      </a:accent5>
      <a:accent6>
        <a:srgbClr val="70AD47"/>
      </a:accent6>
      <a:hlink>
        <a:srgbClr val="0563C1"/>
      </a:hlink>
      <a:folHlink>
        <a:srgbClr val="954F72"/>
      </a:folHlink>
    </a:clrScheme>
    <a:fontScheme name="Office 2013 - 2022">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2013 - 2022">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2013 - 2022 Theme" id="{62F939B6-93AF-4DB8-9C6B-D6C7DFDC589F}" vid="{4A3C46E8-61CC-4603-A589-7422A47A8E4A}"/>
    </a:ext>
  </a:extLst>
</a:theme>
</file>

<file path=xl/worksheets/_rels/sheet1.xml.rels><?xml version="1.0" encoding="UTF-8" standalone="yes"?>
<Relationships xmlns="http://schemas.openxmlformats.org/package/2006/relationships"><Relationship Id="rId1" Type="http://schemas.openxmlformats.org/officeDocument/2006/relationships/printerSettings" Target="../printerSettings/printerSettings1.bin"/></Relationships>
</file>

<file path=xl/worksheets/_rels/sheet3.xml.rels><?xml version="1.0" encoding="UTF-8" standalone="yes"?>
<Relationships xmlns="http://schemas.openxmlformats.org/package/2006/relationships"><Relationship Id="rId1" Type="http://schemas.openxmlformats.org/officeDocument/2006/relationships/printerSettings" Target="../printerSettings/printerSettings2.bin"/></Relationships>
</file>

<file path=xl/worksheets/_rels/sheet4.xml.rels><?xml version="1.0" encoding="UTF-8" standalone="yes"?>
<Relationships xmlns="http://schemas.openxmlformats.org/package/2006/relationships"><Relationship Id="rId1" Type="http://schemas.openxmlformats.org/officeDocument/2006/relationships/printerSettings" Target="../printerSettings/printerSettings3.bin"/></Relationships>
</file>

<file path=xl/worksheets/_rels/sheet5.xml.rels><?xml version="1.0" encoding="UTF-8" standalone="yes"?>
<Relationships xmlns="http://schemas.openxmlformats.org/package/2006/relationships"><Relationship Id="rId1" Type="http://schemas.openxmlformats.org/officeDocument/2006/relationships/printerSettings" Target="../printerSettings/printerSettings4.bin"/></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A46B1FE3-5DA2-4F75-BE53-FF0B372CFD52}">
  <sheetPr>
    <tabColor theme="1"/>
    <pageSetUpPr fitToPage="1"/>
  </sheetPr>
  <dimension ref="A1:F41"/>
  <sheetViews>
    <sheetView zoomScaleNormal="100" workbookViewId="0">
      <selection activeCell="B5" sqref="B5"/>
    </sheetView>
  </sheetViews>
  <sheetFormatPr baseColWidth="10" defaultColWidth="8.6640625" defaultRowHeight="15" x14ac:dyDescent="0.2"/>
  <cols>
    <col min="1" max="1" width="36.6640625" customWidth="1"/>
    <col min="2" max="2" width="41.6640625" bestFit="1" customWidth="1"/>
    <col min="3" max="3" width="42" customWidth="1"/>
    <col min="4" max="4" width="35.6640625" customWidth="1"/>
    <col min="5" max="5" width="37.5" customWidth="1"/>
  </cols>
  <sheetData>
    <row r="1" spans="1:5" ht="46.25" customHeight="1" thickBot="1" x14ac:dyDescent="0.3">
      <c r="A1" s="6" t="s">
        <v>0</v>
      </c>
      <c r="B1" s="13" t="s">
        <v>1</v>
      </c>
      <c r="C1" s="9"/>
      <c r="D1" s="9"/>
      <c r="E1" s="4"/>
    </row>
    <row r="2" spans="1:5" ht="16" thickBot="1" x14ac:dyDescent="0.25">
      <c r="A2" s="7" t="s">
        <v>2</v>
      </c>
      <c r="B2" s="14"/>
      <c r="C2" s="10"/>
      <c r="D2" s="1"/>
    </row>
    <row r="3" spans="1:5" ht="16" thickBot="1" x14ac:dyDescent="0.25">
      <c r="A3" s="7" t="s">
        <v>4</v>
      </c>
      <c r="B3" s="14"/>
      <c r="C3" s="10"/>
    </row>
    <row r="4" spans="1:5" ht="16" thickBot="1" x14ac:dyDescent="0.25">
      <c r="A4" s="7" t="s">
        <v>128</v>
      </c>
      <c r="B4" s="14" t="s">
        <v>119</v>
      </c>
      <c r="C4" s="10"/>
    </row>
    <row r="5" spans="1:5" ht="16" thickBot="1" x14ac:dyDescent="0.25">
      <c r="A5" s="8" t="s">
        <v>6</v>
      </c>
      <c r="B5" s="14" t="s">
        <v>71</v>
      </c>
      <c r="C5" s="10"/>
      <c r="D5" s="1"/>
    </row>
    <row r="6" spans="1:5" ht="16" thickBot="1" x14ac:dyDescent="0.25">
      <c r="A6" s="8" t="s">
        <v>7</v>
      </c>
      <c r="B6" s="14" t="s">
        <v>131</v>
      </c>
    </row>
    <row r="7" spans="1:5" ht="16" thickBot="1" x14ac:dyDescent="0.25">
      <c r="A7" s="8" t="s">
        <v>8</v>
      </c>
      <c r="B7" s="14" t="s">
        <v>92</v>
      </c>
    </row>
    <row r="8" spans="1:5" ht="16" thickBot="1" x14ac:dyDescent="0.25">
      <c r="A8" s="8" t="s">
        <v>88</v>
      </c>
      <c r="B8" s="14" t="s">
        <v>132</v>
      </c>
      <c r="C8" s="10" t="s">
        <v>129</v>
      </c>
    </row>
    <row r="9" spans="1:5" ht="16" thickBot="1" x14ac:dyDescent="0.25">
      <c r="A9" s="8" t="s">
        <v>89</v>
      </c>
      <c r="B9" s="14" t="s">
        <v>93</v>
      </c>
      <c r="C9" s="10" t="s">
        <v>130</v>
      </c>
    </row>
    <row r="10" spans="1:5" ht="16" thickBot="1" x14ac:dyDescent="0.25">
      <c r="A10" s="8" t="s">
        <v>9</v>
      </c>
      <c r="B10" s="14" t="s">
        <v>94</v>
      </c>
    </row>
    <row r="11" spans="1:5" ht="16" thickBot="1" x14ac:dyDescent="0.25">
      <c r="A11" s="8" t="s">
        <v>10</v>
      </c>
      <c r="B11" s="14" t="s">
        <v>95</v>
      </c>
    </row>
    <row r="12" spans="1:5" ht="16" thickBot="1" x14ac:dyDescent="0.25">
      <c r="A12" s="8" t="s">
        <v>11</v>
      </c>
      <c r="B12" s="14" t="s">
        <v>96</v>
      </c>
    </row>
    <row r="13" spans="1:5" ht="16" thickBot="1" x14ac:dyDescent="0.25">
      <c r="A13" s="8" t="s">
        <v>12</v>
      </c>
      <c r="B13" s="14" t="s">
        <v>97</v>
      </c>
    </row>
    <row r="14" spans="1:5" ht="16" thickBot="1" x14ac:dyDescent="0.25">
      <c r="A14" s="8" t="s">
        <v>13</v>
      </c>
      <c r="B14" s="14" t="s">
        <v>98</v>
      </c>
    </row>
    <row r="15" spans="1:5" ht="16" thickBot="1" x14ac:dyDescent="0.25">
      <c r="A15" s="8" t="s">
        <v>14</v>
      </c>
      <c r="B15" s="14" t="s">
        <v>99</v>
      </c>
      <c r="E15" s="1"/>
    </row>
    <row r="16" spans="1:5" ht="64.25" customHeight="1" thickBot="1" x14ac:dyDescent="0.25"/>
    <row r="17" spans="1:6" x14ac:dyDescent="0.2">
      <c r="A17" s="85" t="s">
        <v>15</v>
      </c>
      <c r="B17" s="86"/>
      <c r="C17" s="86"/>
      <c r="D17" s="86"/>
      <c r="E17" s="87"/>
      <c r="F17" s="1"/>
    </row>
    <row r="18" spans="1:6" ht="16" thickBot="1" x14ac:dyDescent="0.25">
      <c r="A18" s="88"/>
      <c r="B18" s="89"/>
      <c r="C18" s="89"/>
      <c r="D18" s="89"/>
      <c r="E18" s="90"/>
    </row>
    <row r="20" spans="1:6" x14ac:dyDescent="0.2">
      <c r="A20" s="12" t="s">
        <v>16</v>
      </c>
      <c r="B20" s="12" t="s">
        <v>17</v>
      </c>
      <c r="C20" s="12" t="s">
        <v>18</v>
      </c>
      <c r="D20" s="12" t="s">
        <v>19</v>
      </c>
      <c r="E20" s="72" t="s">
        <v>121</v>
      </c>
    </row>
    <row r="21" spans="1:6" x14ac:dyDescent="0.2">
      <c r="A21" t="s">
        <v>20</v>
      </c>
      <c r="B21" t="s">
        <v>164</v>
      </c>
      <c r="C21" t="s">
        <v>21</v>
      </c>
      <c r="D21" t="s">
        <v>71</v>
      </c>
      <c r="E21" t="s">
        <v>70</v>
      </c>
    </row>
    <row r="22" spans="1:6" x14ac:dyDescent="0.2">
      <c r="A22" t="s">
        <v>22</v>
      </c>
      <c r="B22" t="s">
        <v>3</v>
      </c>
      <c r="C22" t="s">
        <v>5</v>
      </c>
      <c r="D22" t="s">
        <v>72</v>
      </c>
      <c r="E22" t="s">
        <v>122</v>
      </c>
    </row>
    <row r="23" spans="1:6" x14ac:dyDescent="0.2">
      <c r="D23" t="s">
        <v>162</v>
      </c>
      <c r="E23" t="s">
        <v>65</v>
      </c>
    </row>
    <row r="24" spans="1:6" x14ac:dyDescent="0.2">
      <c r="A24" s="5" t="s">
        <v>23</v>
      </c>
      <c r="B24" s="5" t="s">
        <v>117</v>
      </c>
      <c r="C24" s="12" t="s">
        <v>118</v>
      </c>
      <c r="D24" t="s">
        <v>163</v>
      </c>
      <c r="E24" t="s">
        <v>123</v>
      </c>
    </row>
    <row r="25" spans="1:6" x14ac:dyDescent="0.2">
      <c r="A25" s="80" t="s">
        <v>149</v>
      </c>
      <c r="B25" s="80" t="s">
        <v>156</v>
      </c>
      <c r="C25" t="s">
        <v>119</v>
      </c>
      <c r="E25" t="s">
        <v>66</v>
      </c>
    </row>
    <row r="26" spans="1:6" x14ac:dyDescent="0.2">
      <c r="A26" s="80" t="s">
        <v>150</v>
      </c>
      <c r="B26" s="80" t="s">
        <v>155</v>
      </c>
      <c r="C26" t="s">
        <v>120</v>
      </c>
      <c r="E26" t="s">
        <v>124</v>
      </c>
    </row>
    <row r="27" spans="1:6" x14ac:dyDescent="0.2">
      <c r="A27" s="80" t="s">
        <v>151</v>
      </c>
      <c r="B27" s="80" t="s">
        <v>154</v>
      </c>
      <c r="E27" t="s">
        <v>125</v>
      </c>
    </row>
    <row r="28" spans="1:6" x14ac:dyDescent="0.2">
      <c r="A28" s="80" t="s">
        <v>152</v>
      </c>
      <c r="B28" s="80" t="s">
        <v>153</v>
      </c>
      <c r="E28" t="s">
        <v>126</v>
      </c>
    </row>
    <row r="29" spans="1:6" x14ac:dyDescent="0.2">
      <c r="A29" s="2" t="s">
        <v>160</v>
      </c>
      <c r="B29" s="2" t="s">
        <v>161</v>
      </c>
      <c r="E29" t="s">
        <v>67</v>
      </c>
    </row>
    <row r="30" spans="1:6" x14ac:dyDescent="0.2">
      <c r="E30" t="s">
        <v>127</v>
      </c>
    </row>
    <row r="31" spans="1:6" x14ac:dyDescent="0.2">
      <c r="A31" s="5" t="s">
        <v>24</v>
      </c>
      <c r="D31" s="5" t="s">
        <v>25</v>
      </c>
      <c r="E31" t="s">
        <v>64</v>
      </c>
    </row>
    <row r="32" spans="1:6" x14ac:dyDescent="0.2">
      <c r="A32" s="2" t="s">
        <v>26</v>
      </c>
      <c r="B32" s="2" t="s">
        <v>107</v>
      </c>
      <c r="C32">
        <v>10</v>
      </c>
      <c r="E32" t="s">
        <v>146</v>
      </c>
    </row>
    <row r="33" spans="1:5" ht="32" x14ac:dyDescent="0.2">
      <c r="A33" s="2" t="s">
        <v>27</v>
      </c>
      <c r="B33" s="2" t="s">
        <v>108</v>
      </c>
      <c r="C33">
        <v>9</v>
      </c>
      <c r="D33" s="16" t="s">
        <v>28</v>
      </c>
      <c r="E33" t="s">
        <v>77</v>
      </c>
    </row>
    <row r="34" spans="1:5" x14ac:dyDescent="0.2">
      <c r="A34" s="2" t="s">
        <v>29</v>
      </c>
      <c r="B34" s="2" t="s">
        <v>109</v>
      </c>
      <c r="C34">
        <v>8</v>
      </c>
      <c r="E34" t="s">
        <v>122</v>
      </c>
    </row>
    <row r="35" spans="1:5" x14ac:dyDescent="0.2">
      <c r="A35" s="2" t="s">
        <v>30</v>
      </c>
      <c r="B35" s="2" t="s">
        <v>110</v>
      </c>
      <c r="C35">
        <v>7</v>
      </c>
      <c r="D35" t="s">
        <v>31</v>
      </c>
      <c r="E35" t="s">
        <v>147</v>
      </c>
    </row>
    <row r="36" spans="1:5" x14ac:dyDescent="0.2">
      <c r="A36" s="2" t="s">
        <v>32</v>
      </c>
      <c r="B36" s="2" t="s">
        <v>111</v>
      </c>
      <c r="C36">
        <v>6</v>
      </c>
      <c r="E36" t="s">
        <v>148</v>
      </c>
    </row>
    <row r="37" spans="1:5" x14ac:dyDescent="0.2">
      <c r="A37" s="2" t="s">
        <v>33</v>
      </c>
      <c r="B37" s="2" t="s">
        <v>112</v>
      </c>
      <c r="C37">
        <v>5</v>
      </c>
      <c r="D37" t="s">
        <v>34</v>
      </c>
      <c r="E37" t="s">
        <v>157</v>
      </c>
    </row>
    <row r="38" spans="1:5" x14ac:dyDescent="0.2">
      <c r="A38" s="2" t="s">
        <v>35</v>
      </c>
      <c r="B38" s="2" t="s">
        <v>113</v>
      </c>
      <c r="C38">
        <v>4</v>
      </c>
      <c r="E38" t="s">
        <v>158</v>
      </c>
    </row>
    <row r="39" spans="1:5" x14ac:dyDescent="0.2">
      <c r="A39" s="2" t="s">
        <v>36</v>
      </c>
      <c r="B39" s="2" t="s">
        <v>114</v>
      </c>
      <c r="C39">
        <v>3</v>
      </c>
    </row>
    <row r="40" spans="1:5" x14ac:dyDescent="0.2">
      <c r="A40" s="2" t="s">
        <v>37</v>
      </c>
      <c r="B40" s="2" t="s">
        <v>115</v>
      </c>
      <c r="C40">
        <v>2</v>
      </c>
    </row>
    <row r="41" spans="1:5" x14ac:dyDescent="0.2">
      <c r="A41" s="2" t="s">
        <v>38</v>
      </c>
      <c r="B41" s="2" t="s">
        <v>116</v>
      </c>
      <c r="C41">
        <v>1</v>
      </c>
    </row>
  </sheetData>
  <sheetProtection algorithmName="SHA-512" hashValue="OGJzQjNIT2mTDOXZN6RSTsRrzC5ctvTX9ZG6bNV0+HlSLW3KXWNNIj18PZFS+9RFSwrL//CNz790+eorNOsg3g==" saltValue="7OFJmU8+ToT5karO1S8+Bg==" spinCount="100000" sheet="1" objects="1" scenarios="1" formatCells="0"/>
  <mergeCells count="1">
    <mergeCell ref="A17:E18"/>
  </mergeCells>
  <conditionalFormatting sqref="C1 D34 D36 D38:D41">
    <cfRule type="cellIs" dxfId="185" priority="10" operator="equal">
      <formula>$A$29</formula>
    </cfRule>
    <cfRule type="cellIs" dxfId="184" priority="11" operator="equal">
      <formula>$A$27</formula>
    </cfRule>
    <cfRule type="cellIs" dxfId="183" priority="12" operator="equal">
      <formula>$A$25</formula>
    </cfRule>
  </conditionalFormatting>
  <conditionalFormatting sqref="C24:C26">
    <cfRule type="cellIs" dxfId="182" priority="1" operator="equal">
      <formula>$A$38</formula>
    </cfRule>
    <cfRule type="cellIs" dxfId="181" priority="2" operator="equal">
      <formula>$A$37</formula>
    </cfRule>
    <cfRule type="cellIs" dxfId="180" priority="3" operator="equal">
      <formula>$A$36</formula>
    </cfRule>
  </conditionalFormatting>
  <conditionalFormatting sqref="C24:C29">
    <cfRule type="cellIs" dxfId="179" priority="4" operator="equal">
      <formula>$A$37</formula>
    </cfRule>
    <cfRule type="cellIs" dxfId="178" priority="5" operator="equal">
      <formula>$A$36</formula>
    </cfRule>
    <cfRule type="cellIs" dxfId="177" priority="6" operator="equal">
      <formula>$A$35</formula>
    </cfRule>
  </conditionalFormatting>
  <conditionalFormatting sqref="C32:C41">
    <cfRule type="colorScale" priority="681">
      <colorScale>
        <cfvo type="min"/>
        <cfvo type="percentile" val="50"/>
        <cfvo type="max"/>
        <color rgb="FFF8696B"/>
        <color rgb="FFFFEB84"/>
        <color rgb="FF63BE7B"/>
      </colorScale>
    </cfRule>
  </conditionalFormatting>
  <conditionalFormatting sqref="D32">
    <cfRule type="cellIs" dxfId="176" priority="14" operator="equal">
      <formula>$A$29</formula>
    </cfRule>
    <cfRule type="cellIs" dxfId="175" priority="15" operator="equal">
      <formula>$A$27</formula>
    </cfRule>
    <cfRule type="cellIs" dxfId="174" priority="16" operator="equal">
      <formula>$A$25</formula>
    </cfRule>
  </conditionalFormatting>
  <dataValidations count="4">
    <dataValidation type="list" allowBlank="1" showInputMessage="1" showErrorMessage="1" sqref="B2" xr:uid="{6655A896-E50C-4650-9103-0CDD6298BA14}">
      <formula1>$B$21:$B$22</formula1>
    </dataValidation>
    <dataValidation type="list" allowBlank="1" showInputMessage="1" showErrorMessage="1" sqref="B3" xr:uid="{F3CF690C-7F91-4709-AAEA-F43A0D365A19}">
      <formula1>$C$21:$C$22</formula1>
    </dataValidation>
    <dataValidation type="list" allowBlank="1" showInputMessage="1" showErrorMessage="1" sqref="B5" xr:uid="{64984EAC-7D44-4E5A-BE45-1722C431A43F}">
      <formula1>$D$21:$D$24</formula1>
    </dataValidation>
    <dataValidation type="list" allowBlank="1" showInputMessage="1" showErrorMessage="1" sqref="B4" xr:uid="{195C6D59-EAFA-47E7-93D4-A0A593708A2E}">
      <formula1>$C$25:$C$26</formula1>
    </dataValidation>
  </dataValidations>
  <pageMargins left="0.7" right="0.7" top="0.75" bottom="0.75" header="0.3" footer="0.3"/>
  <pageSetup paperSize="9" scale="67" fitToHeight="0" orientation="landscape" r:id="rId1"/>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3AE34C13-DC0C-4EA5-8CD6-82120B02E4DC}">
  <sheetPr>
    <tabColor theme="1"/>
  </sheetPr>
  <dimension ref="A1:E7"/>
  <sheetViews>
    <sheetView workbookViewId="0">
      <selection activeCell="A3" sqref="A3"/>
    </sheetView>
  </sheetViews>
  <sheetFormatPr baseColWidth="10" defaultColWidth="8.83203125" defaultRowHeight="15" x14ac:dyDescent="0.2"/>
  <cols>
    <col min="1" max="1" width="27.1640625" style="16" bestFit="1" customWidth="1"/>
    <col min="2" max="2" width="77.33203125" style="16" customWidth="1"/>
    <col min="3" max="3" width="4.33203125" customWidth="1"/>
    <col min="4" max="4" width="29.33203125" customWidth="1"/>
    <col min="5" max="5" width="74.6640625" customWidth="1"/>
  </cols>
  <sheetData>
    <row r="1" spans="1:5" ht="32.25" customHeight="1" thickBot="1" x14ac:dyDescent="0.25">
      <c r="A1" s="91" t="s">
        <v>39</v>
      </c>
      <c r="B1" s="91"/>
      <c r="C1" s="73"/>
      <c r="D1" s="6" t="s">
        <v>133</v>
      </c>
      <c r="E1" s="6"/>
    </row>
    <row r="2" spans="1:5" ht="16" thickBot="1" x14ac:dyDescent="0.25">
      <c r="A2" s="74" t="s">
        <v>40</v>
      </c>
      <c r="B2" s="74" t="s">
        <v>41</v>
      </c>
      <c r="C2" s="73"/>
      <c r="D2" s="74" t="s">
        <v>134</v>
      </c>
      <c r="E2" s="74" t="s">
        <v>135</v>
      </c>
    </row>
    <row r="3" spans="1:5" ht="273" thickBot="1" x14ac:dyDescent="0.25">
      <c r="A3" s="75" t="s">
        <v>42</v>
      </c>
      <c r="B3" s="76" t="s">
        <v>43</v>
      </c>
      <c r="C3" s="77"/>
      <c r="D3" s="75" t="s">
        <v>136</v>
      </c>
      <c r="E3" s="76" t="s">
        <v>137</v>
      </c>
    </row>
    <row r="4" spans="1:5" ht="273" thickBot="1" x14ac:dyDescent="0.25">
      <c r="A4" s="75" t="s">
        <v>44</v>
      </c>
      <c r="B4" s="76" t="s">
        <v>45</v>
      </c>
      <c r="C4" s="77"/>
      <c r="D4" s="75" t="s">
        <v>138</v>
      </c>
      <c r="E4" s="76" t="s">
        <v>139</v>
      </c>
    </row>
    <row r="5" spans="1:5" ht="225" thickBot="1" x14ac:dyDescent="0.25">
      <c r="A5" s="75" t="s">
        <v>46</v>
      </c>
      <c r="B5" s="76" t="s">
        <v>47</v>
      </c>
      <c r="C5" s="77"/>
      <c r="D5" s="75" t="s">
        <v>140</v>
      </c>
      <c r="E5" s="76" t="s">
        <v>141</v>
      </c>
    </row>
    <row r="6" spans="1:5" ht="193" thickBot="1" x14ac:dyDescent="0.25">
      <c r="A6" s="75" t="s">
        <v>48</v>
      </c>
      <c r="B6" s="76" t="s">
        <v>49</v>
      </c>
      <c r="C6" s="77"/>
      <c r="D6" s="75" t="s">
        <v>142</v>
      </c>
      <c r="E6" s="76" t="s">
        <v>143</v>
      </c>
    </row>
    <row r="7" spans="1:5" ht="225" thickBot="1" x14ac:dyDescent="0.25">
      <c r="A7" s="75" t="s">
        <v>50</v>
      </c>
      <c r="B7" s="76" t="s">
        <v>51</v>
      </c>
      <c r="C7" s="77"/>
      <c r="D7" s="75" t="s">
        <v>144</v>
      </c>
      <c r="E7" s="76" t="s">
        <v>145</v>
      </c>
    </row>
  </sheetData>
  <sheetProtection algorithmName="SHA-512" hashValue="iFI1yrlpGIROgqOC7pgJO90Jq9MaSF019OC1h8Xce3gzpaxKmdCV4EK3CaCtkYK6vtxQMFyuZ/aPaQEgbIcVvQ==" saltValue="yPCmQpdZ1nc09EfDEPC+Cg==" spinCount="100000" sheet="1" objects="1" scenarios="1"/>
  <mergeCells count="1">
    <mergeCell ref="A1:B1"/>
  </mergeCells>
  <pageMargins left="0.7" right="0.7" top="0.75" bottom="0.75" header="0.3" footer="0.3"/>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522D0E25-8FE9-4BD0-8228-4948443B2655}">
  <sheetPr>
    <tabColor theme="9" tint="0.39997558519241921"/>
    <pageSetUpPr fitToPage="1"/>
  </sheetPr>
  <dimension ref="A1:M45"/>
  <sheetViews>
    <sheetView tabSelected="1" zoomScale="80" zoomScaleNormal="80" workbookViewId="0">
      <pane xSplit="1" ySplit="10" topLeftCell="B11" activePane="bottomRight" state="frozen"/>
      <selection pane="topRight" activeCell="B1" sqref="B1"/>
      <selection pane="bottomLeft" activeCell="A11" sqref="A11"/>
      <selection pane="bottomRight" activeCell="I18" sqref="I18"/>
    </sheetView>
  </sheetViews>
  <sheetFormatPr baseColWidth="10" defaultColWidth="8.6640625" defaultRowHeight="31" outlineLevelRow="1" x14ac:dyDescent="0.2"/>
  <cols>
    <col min="1" max="1" width="88.5" style="2" customWidth="1"/>
    <col min="2" max="2" width="56.83203125" customWidth="1"/>
    <col min="3" max="3" width="15.5" bestFit="1" customWidth="1"/>
    <col min="4" max="4" width="56.83203125" customWidth="1"/>
    <col min="5" max="5" width="15.5" bestFit="1" customWidth="1"/>
    <col min="6" max="6" width="56.83203125" customWidth="1"/>
    <col min="7" max="7" width="15.5" bestFit="1" customWidth="1"/>
    <col min="8" max="8" width="56.83203125" customWidth="1"/>
    <col min="9" max="9" width="21.5" style="45" customWidth="1"/>
    <col min="10" max="10" width="10.83203125" style="45" customWidth="1"/>
    <col min="11" max="11" width="56.83203125" customWidth="1"/>
    <col min="12" max="12" width="15.5" bestFit="1" customWidth="1"/>
    <col min="13" max="13" width="21.5" style="45" customWidth="1"/>
  </cols>
  <sheetData>
    <row r="1" spans="1:13" x14ac:dyDescent="0.2">
      <c r="A1" s="61" t="s">
        <v>102</v>
      </c>
      <c r="B1" s="105" t="s">
        <v>52</v>
      </c>
      <c r="C1" s="105"/>
      <c r="D1" s="105"/>
      <c r="E1" s="105"/>
      <c r="F1" s="105"/>
      <c r="G1" s="105"/>
      <c r="H1" s="62"/>
      <c r="I1" s="67"/>
      <c r="K1" s="53"/>
      <c r="L1" s="106"/>
      <c r="M1" s="54"/>
    </row>
    <row r="2" spans="1:13" outlineLevel="1" x14ac:dyDescent="0.2">
      <c r="A2" s="11">
        <f>Data!B3</f>
        <v>0</v>
      </c>
      <c r="B2" s="41" t="str">
        <f>Data!B5</f>
        <v>najaar 2024</v>
      </c>
      <c r="C2" s="36"/>
      <c r="D2" s="41"/>
      <c r="E2" s="36"/>
      <c r="F2" s="41"/>
      <c r="G2" s="36"/>
      <c r="H2" s="41"/>
      <c r="I2" s="68"/>
      <c r="K2" s="11"/>
      <c r="L2" s="107"/>
      <c r="M2" s="40"/>
    </row>
    <row r="3" spans="1:13" outlineLevel="1" x14ac:dyDescent="0.25">
      <c r="A3" s="78" t="s">
        <v>53</v>
      </c>
      <c r="B3" s="42" t="str">
        <f>Data!B6</f>
        <v>Student 1</v>
      </c>
      <c r="C3" s="42" t="str">
        <f>Data!B7</f>
        <v>nummer 1</v>
      </c>
      <c r="D3" s="42"/>
      <c r="E3" s="107"/>
      <c r="F3" s="42"/>
      <c r="G3" s="107"/>
      <c r="H3" s="42"/>
      <c r="I3" s="68"/>
      <c r="K3" s="55"/>
      <c r="L3" s="107"/>
      <c r="M3" s="40"/>
    </row>
    <row r="4" spans="1:13" outlineLevel="1" x14ac:dyDescent="0.25">
      <c r="A4" s="78" t="s">
        <v>75</v>
      </c>
      <c r="B4" s="42" t="str">
        <f>Data!B8</f>
        <v>Student 2</v>
      </c>
      <c r="C4" s="42" t="str">
        <f>Data!B9</f>
        <v>nummer 2</v>
      </c>
      <c r="D4" s="42"/>
      <c r="E4" s="107"/>
      <c r="F4" s="42"/>
      <c r="G4" s="107"/>
      <c r="H4" s="42"/>
      <c r="I4" s="68"/>
      <c r="K4" s="55"/>
      <c r="L4" s="107"/>
      <c r="M4" s="40"/>
    </row>
    <row r="5" spans="1:13" ht="14.5" customHeight="1" outlineLevel="1" x14ac:dyDescent="0.25">
      <c r="A5" s="78" t="s">
        <v>54</v>
      </c>
      <c r="B5" s="95" t="str">
        <f>Data!B12</f>
        <v>opdr titel</v>
      </c>
      <c r="C5" s="95"/>
      <c r="D5" s="42"/>
      <c r="E5" s="107"/>
      <c r="F5" s="42"/>
      <c r="G5" s="107"/>
      <c r="H5" s="42"/>
      <c r="I5" s="68"/>
      <c r="K5" s="55"/>
      <c r="L5" s="107"/>
      <c r="M5" s="40"/>
    </row>
    <row r="6" spans="1:13" ht="15" customHeight="1" outlineLevel="1" x14ac:dyDescent="0.25">
      <c r="A6" s="78" t="s">
        <v>55</v>
      </c>
      <c r="B6" s="95" t="str">
        <f>Data!B11</f>
        <v>begeleider bedrijf</v>
      </c>
      <c r="C6" s="95"/>
      <c r="D6" s="42"/>
      <c r="E6" s="107"/>
      <c r="F6" s="42"/>
      <c r="G6" s="107"/>
      <c r="H6" s="42"/>
      <c r="I6" s="55"/>
      <c r="J6" s="49"/>
      <c r="K6" s="55"/>
      <c r="L6" s="107"/>
      <c r="M6" s="36"/>
    </row>
    <row r="7" spans="1:13" ht="14" customHeight="1" outlineLevel="1" x14ac:dyDescent="0.25">
      <c r="A7" s="78" t="s">
        <v>56</v>
      </c>
      <c r="B7" s="95" t="str">
        <f>Data!B13</f>
        <v>docent 1</v>
      </c>
      <c r="C7" s="95"/>
      <c r="D7" s="42"/>
      <c r="E7" s="107"/>
      <c r="F7" s="42"/>
      <c r="G7" s="107"/>
      <c r="H7" s="42"/>
      <c r="I7" s="55"/>
      <c r="J7" s="49"/>
      <c r="K7" s="55"/>
      <c r="L7" s="107"/>
      <c r="M7" s="36"/>
    </row>
    <row r="8" spans="1:13" ht="15.5" customHeight="1" outlineLevel="1" x14ac:dyDescent="0.25">
      <c r="A8" s="78" t="s">
        <v>57</v>
      </c>
      <c r="B8" s="95" t="str">
        <f>Data!B14</f>
        <v>docent 2</v>
      </c>
      <c r="C8" s="95"/>
      <c r="D8" s="42"/>
      <c r="E8" s="107"/>
      <c r="F8" s="42"/>
      <c r="G8" s="107"/>
      <c r="H8" s="42"/>
      <c r="I8" s="55"/>
      <c r="J8" s="49"/>
      <c r="K8" s="55"/>
      <c r="L8" s="107"/>
      <c r="M8" s="36"/>
    </row>
    <row r="9" spans="1:13" ht="15.75" customHeight="1" outlineLevel="1" x14ac:dyDescent="0.2">
      <c r="A9" s="78" t="s">
        <v>58</v>
      </c>
      <c r="B9" s="95" t="str">
        <f>Data!B15</f>
        <v>externe</v>
      </c>
      <c r="C9" s="95"/>
      <c r="D9" s="36"/>
      <c r="E9" s="107"/>
      <c r="F9" s="36"/>
      <c r="G9" s="107"/>
      <c r="H9" s="36"/>
      <c r="I9" s="56"/>
      <c r="J9" s="9"/>
      <c r="K9" s="56"/>
      <c r="L9" s="107"/>
      <c r="M9" s="36"/>
    </row>
    <row r="10" spans="1:13" s="43" customFormat="1" ht="38.5" customHeight="1" x14ac:dyDescent="0.25">
      <c r="A10" s="63"/>
      <c r="B10" s="46" t="s">
        <v>59</v>
      </c>
      <c r="C10" s="96"/>
      <c r="D10" s="46" t="s">
        <v>60</v>
      </c>
      <c r="E10" s="107"/>
      <c r="F10" s="46" t="s">
        <v>61</v>
      </c>
      <c r="G10" s="107"/>
      <c r="H10" s="46" t="str">
        <f>IF(TAAL="Engels", Data!$E$38,Data!$E$37)</f>
        <v>Afstudeertraject</v>
      </c>
      <c r="I10" s="55"/>
      <c r="J10" s="50"/>
      <c r="K10" s="57" t="s">
        <v>91</v>
      </c>
      <c r="L10" s="107"/>
      <c r="M10" s="46" t="s">
        <v>62</v>
      </c>
    </row>
    <row r="11" spans="1:13" ht="22.25" customHeight="1" x14ac:dyDescent="0.25">
      <c r="A11" s="64" t="s">
        <v>63</v>
      </c>
      <c r="B11" s="47"/>
      <c r="C11" s="96"/>
      <c r="D11" s="47"/>
      <c r="E11" s="107"/>
      <c r="F11" s="47"/>
      <c r="G11" s="107"/>
      <c r="H11" s="47"/>
      <c r="I11" s="55"/>
      <c r="J11" s="51"/>
      <c r="K11" s="58"/>
      <c r="L11" s="107"/>
      <c r="M11" s="48"/>
    </row>
    <row r="12" spans="1:13" s="44" customFormat="1" ht="18" customHeight="1" x14ac:dyDescent="0.25">
      <c r="A12" s="98" t="s">
        <v>90</v>
      </c>
      <c r="B12" s="3" t="str">
        <f>IF(TAAL="Engels", Data!$E$32,Data!$E$31)</f>
        <v>Opgeleverde producten</v>
      </c>
      <c r="C12" s="96"/>
      <c r="D12" s="3" t="str">
        <f>IF(TAAL="Engels", Data!$E$32,Data!$E$31)</f>
        <v>Opgeleverde producten</v>
      </c>
      <c r="E12" s="107"/>
      <c r="F12" s="3" t="str">
        <f>IF(TAAL="Engels", Data!$E$32,Data!$E$31)</f>
        <v>Opgeleverde producten</v>
      </c>
      <c r="G12" s="107"/>
      <c r="H12" s="3" t="str">
        <f>IF(TAAL="Engels", Data!$E$32,Data!$E$31)</f>
        <v>Opgeleverde producten</v>
      </c>
      <c r="I12" s="55"/>
      <c r="J12" s="52"/>
      <c r="K12" s="3" t="str">
        <f>IF(TAAL="Engels", Data!$E$32,Data!$E$31)</f>
        <v>Opgeleverde producten</v>
      </c>
      <c r="L12" s="107"/>
      <c r="M12" s="100" t="s">
        <v>159</v>
      </c>
    </row>
    <row r="13" spans="1:13" ht="58.25" customHeight="1" x14ac:dyDescent="0.25">
      <c r="A13" s="98"/>
      <c r="B13" s="15"/>
      <c r="C13" s="96"/>
      <c r="D13" s="15"/>
      <c r="E13" s="107"/>
      <c r="F13" s="15"/>
      <c r="G13" s="107"/>
      <c r="H13" s="15"/>
      <c r="I13" s="55"/>
      <c r="J13" s="52"/>
      <c r="K13" s="15"/>
      <c r="L13" s="107"/>
      <c r="M13" s="100"/>
    </row>
    <row r="14" spans="1:13" s="44" customFormat="1" ht="17" customHeight="1" x14ac:dyDescent="0.25">
      <c r="A14" s="98"/>
      <c r="B14" s="3" t="str">
        <f>IF(TAAL="Engels", Data!$E$34,Data!$E$33)</f>
        <v>Bijzondere omstandigheden</v>
      </c>
      <c r="C14" s="96"/>
      <c r="D14" s="3" t="str">
        <f>IF(TAAL="Engels", Data!$E$34,Data!$E$33)</f>
        <v>Bijzondere omstandigheden</v>
      </c>
      <c r="E14" s="107"/>
      <c r="F14" s="3" t="str">
        <f>IF(TAAL="Engels", Data!$E$34,Data!$E$33)</f>
        <v>Bijzondere omstandigheden</v>
      </c>
      <c r="G14" s="107"/>
      <c r="H14" s="3" t="str">
        <f>IF(TAAL="Engels", Data!$E$34,Data!$E$33)</f>
        <v>Bijzondere omstandigheden</v>
      </c>
      <c r="I14" s="55"/>
      <c r="J14" s="52"/>
      <c r="K14" s="3" t="str">
        <f>IF(TAAL="Engels", Data!$E$34,Data!$E$33)</f>
        <v>Bijzondere omstandigheden</v>
      </c>
      <c r="L14" s="107"/>
      <c r="M14" s="100"/>
    </row>
    <row r="15" spans="1:13" ht="75" customHeight="1" thickBot="1" x14ac:dyDescent="0.25">
      <c r="A15" s="99"/>
      <c r="B15" s="65"/>
      <c r="C15" s="97"/>
      <c r="D15" s="65"/>
      <c r="E15" s="108"/>
      <c r="F15" s="65"/>
      <c r="G15" s="108"/>
      <c r="H15" s="65"/>
      <c r="I15" s="35" t="s">
        <v>166</v>
      </c>
      <c r="J15" s="52"/>
      <c r="K15" s="35"/>
      <c r="L15" s="108"/>
      <c r="M15" s="101"/>
    </row>
    <row r="16" spans="1:13" s="44" customFormat="1" ht="19" x14ac:dyDescent="0.25">
      <c r="A16" s="66" t="str">
        <f>IF(TAAL="Engels", Competenties!$D$3, Competenties!$A$3)</f>
        <v>Competentie 1: 
Planmatig werken</v>
      </c>
      <c r="B16" s="59" t="str">
        <f>IF(TAAL="Engels", Data!$E$24,Data!$E$23)</f>
        <v>Motivatie en toelichting</v>
      </c>
      <c r="C16" s="3"/>
      <c r="D16" s="59" t="str">
        <f>IF(TAAL="Engels", Data!$E$24,Data!$E$23)</f>
        <v>Motivatie en toelichting</v>
      </c>
      <c r="E16" s="3"/>
      <c r="F16" s="59" t="str">
        <f>IF(TAAL="Engels", Data!$E$24,Data!$E$23)</f>
        <v>Motivatie en toelichting</v>
      </c>
      <c r="G16" s="3"/>
      <c r="H16" s="59" t="str">
        <f>IF(TAAL="Engels", Data!$E$24,Data!$E$23)</f>
        <v>Motivatie en toelichting</v>
      </c>
      <c r="I16" s="59"/>
      <c r="K16" s="59" t="str">
        <f>IF(TAAL="Engels", Data!$E$24,Data!$E$23)</f>
        <v>Motivatie en toelichting</v>
      </c>
      <c r="L16" s="3"/>
      <c r="M16" s="3"/>
    </row>
    <row r="17" spans="1:13" ht="95.25" customHeight="1" thickBot="1" x14ac:dyDescent="0.25">
      <c r="A17" s="102" t="str">
        <f>IF(TAAL="Engels", Competenties!$E$3, Competenties!$B$3)</f>
        <v>WAT &amp; WAAROM
•	Student geeft de context van de opdracht aan, waarbij probleem en/of aanleiding, doel, stakeholders en scope duidelijk worden
•	Student beschrijft de beoogde deliverables (producten, handelingen) van de opdracht
•	Student neemt hierbij (zoals stakeholders, deliverables) zowel school als bedrijf mee, in de juiste balans.
HOE
•	Student bepaalt fasen en activiteiten bij de opdracht, verwerkt deze in een realistische planning, en bepaalt relevante risico’s en bijpassende maatregelen 
•	Student onderbouwt de gekozen aanpak (methoden &amp; technieken), welke past bij doel en context van de opdracht
•	Student werkt volgens het PvA en wijkt hier in overleg vanaf waar nodig.
MATE VAN ZELFSTANDIGHEID
•	Student(en) komt/komen zelfstandig tot een bruikbaar (samenhangend, volledig en van voldoende kwaliteit) Plan van Aanpak.</v>
      </c>
      <c r="B17" s="35" t="s">
        <v>103</v>
      </c>
      <c r="C17" s="69"/>
      <c r="D17" s="35" t="s">
        <v>103</v>
      </c>
      <c r="E17" s="69"/>
      <c r="F17" s="35" t="s">
        <v>103</v>
      </c>
      <c r="G17" s="69"/>
      <c r="H17" s="35" t="s">
        <v>103</v>
      </c>
      <c r="I17" s="70"/>
      <c r="K17" s="35" t="s">
        <v>103</v>
      </c>
      <c r="L17" s="69"/>
      <c r="M17" s="71"/>
    </row>
    <row r="18" spans="1:13" s="44" customFormat="1" ht="19" x14ac:dyDescent="0.25">
      <c r="A18" s="103"/>
      <c r="B18" s="59" t="str">
        <f>Data!$B$6</f>
        <v>Student 1</v>
      </c>
      <c r="C18" s="3" t="str">
        <f>IF(TAAL="Engels", Data!$E$26,Data!$E$25)</f>
        <v>Oordeel</v>
      </c>
      <c r="D18" s="59" t="str">
        <f>Data!$B$6</f>
        <v>Student 1</v>
      </c>
      <c r="E18" s="3" t="str">
        <f>IF(TAAL="Engels", Data!$E$26,Data!$E$25)</f>
        <v>Oordeel</v>
      </c>
      <c r="F18" s="59" t="str">
        <f>Data!$B$6</f>
        <v>Student 1</v>
      </c>
      <c r="G18" s="3" t="str">
        <f>IF(TAAL="Engels", Data!$E$26,Data!$E$25)</f>
        <v>Oordeel</v>
      </c>
      <c r="H18" s="59" t="str">
        <f>Data!$B$6</f>
        <v>Student 1</v>
      </c>
      <c r="I18" s="59" t="str">
        <f>IF(TAAL="Engels", Data!$E$26,Data!$E$25)</f>
        <v>Oordeel</v>
      </c>
      <c r="K18" s="59" t="str">
        <f>Data!$B$6</f>
        <v>Student 1</v>
      </c>
      <c r="L18" s="3" t="str">
        <f>IF(TAAL="Engels", Data!$E$26,Data!$E$25)</f>
        <v>Oordeel</v>
      </c>
      <c r="M18" s="3" t="str">
        <f>IF(TAAL="Engels", Data!$E$26,Data!$E$25)</f>
        <v>Oordeel</v>
      </c>
    </row>
    <row r="19" spans="1:13" ht="93.75" customHeight="1" thickBot="1" x14ac:dyDescent="0.25">
      <c r="A19" s="103"/>
      <c r="B19" s="35" t="s">
        <v>106</v>
      </c>
      <c r="C19" s="60"/>
      <c r="D19" s="35" t="s">
        <v>106</v>
      </c>
      <c r="E19" s="60"/>
      <c r="F19" s="35" t="s">
        <v>106</v>
      </c>
      <c r="G19" s="60"/>
      <c r="H19" s="35" t="s">
        <v>106</v>
      </c>
      <c r="I19" s="81"/>
      <c r="K19" s="35" t="s">
        <v>106</v>
      </c>
      <c r="L19" s="60"/>
      <c r="M19" s="82"/>
    </row>
    <row r="20" spans="1:13" s="44" customFormat="1" ht="19" x14ac:dyDescent="0.25">
      <c r="A20" s="103"/>
      <c r="B20" s="59" t="str">
        <f>Data!$B$8</f>
        <v>Student 2</v>
      </c>
      <c r="C20" s="3" t="str">
        <f>IF(TAAL="Engels", Data!$E$26,Data!$E$25)</f>
        <v>Oordeel</v>
      </c>
      <c r="D20" s="59" t="str">
        <f>Data!$B$8</f>
        <v>Student 2</v>
      </c>
      <c r="E20" s="3" t="str">
        <f>IF(TAAL="Engels", Data!$E$26,Data!$E$25)</f>
        <v>Oordeel</v>
      </c>
      <c r="F20" s="59" t="str">
        <f>Data!$B$8</f>
        <v>Student 2</v>
      </c>
      <c r="G20" s="3" t="str">
        <f>IF(TAAL="Engels", Data!$E$26,Data!$E$25)</f>
        <v>Oordeel</v>
      </c>
      <c r="H20" s="59" t="str">
        <f>Data!$B$8</f>
        <v>Student 2</v>
      </c>
      <c r="I20" s="59" t="str">
        <f>IF(TAAL="Engels", Data!$E$26,Data!$E$25)</f>
        <v>Oordeel</v>
      </c>
      <c r="K20" s="59" t="str">
        <f>Data!$B$8</f>
        <v>Student 2</v>
      </c>
      <c r="L20" s="3" t="str">
        <f>IF(TAAL="Engels", Data!$E$26,Data!$E$25)</f>
        <v>Oordeel</v>
      </c>
      <c r="M20" s="3" t="str">
        <f>IF(TAAL="Engels", Data!$E$26,Data!$E$25)</f>
        <v>Oordeel</v>
      </c>
    </row>
    <row r="21" spans="1:13" ht="83.25" customHeight="1" thickBot="1" x14ac:dyDescent="0.25">
      <c r="A21" s="104"/>
      <c r="B21" s="35" t="s">
        <v>105</v>
      </c>
      <c r="C21" s="60"/>
      <c r="D21" s="35" t="s">
        <v>105</v>
      </c>
      <c r="E21" s="60"/>
      <c r="F21" s="35" t="s">
        <v>105</v>
      </c>
      <c r="G21" s="60"/>
      <c r="H21" s="35" t="s">
        <v>105</v>
      </c>
      <c r="I21" s="81"/>
      <c r="K21" s="35" t="s">
        <v>105</v>
      </c>
      <c r="L21" s="60"/>
      <c r="M21" s="82"/>
    </row>
    <row r="22" spans="1:13" s="44" customFormat="1" ht="19" x14ac:dyDescent="0.25">
      <c r="A22" s="66" t="str">
        <f>IF(TAAL="Engels", Competenties!$D$4, Competenties!$A$4)</f>
        <v>Competentie 2: 
Probleem-oplossend vermogen, leveren van beroepsprestaties</v>
      </c>
      <c r="B22" s="59" t="str">
        <f>IF(TAAL="Engels", Data!$E$24,Data!$E$23)</f>
        <v>Motivatie en toelichting</v>
      </c>
      <c r="C22" s="3"/>
      <c r="D22" s="59" t="str">
        <f>IF(TAAL="Engels", Data!$E$24,Data!$E$23)</f>
        <v>Motivatie en toelichting</v>
      </c>
      <c r="E22" s="3"/>
      <c r="F22" s="59" t="str">
        <f>IF(TAAL="Engels", Data!$E$24,Data!$E$23)</f>
        <v>Motivatie en toelichting</v>
      </c>
      <c r="G22" s="3"/>
      <c r="H22" s="59" t="str">
        <f>IF(TAAL="Engels", Data!$E$24,Data!$E$23)</f>
        <v>Motivatie en toelichting</v>
      </c>
      <c r="I22" s="59"/>
      <c r="K22" s="59" t="str">
        <f>IF(TAAL="Engels", Data!$E$24,Data!$E$23)</f>
        <v>Motivatie en toelichting</v>
      </c>
      <c r="L22" s="3"/>
      <c r="M22" s="3"/>
    </row>
    <row r="23" spans="1:13" ht="95.25" customHeight="1" thickBot="1" x14ac:dyDescent="0.25">
      <c r="A23" s="92" t="str">
        <f>IF(TAAL="Engels", Competenties!$E$4, Competenties!$B$4)</f>
        <v>EISEN
•	Student formuleert vooraf heldere eisen aan de deliverables, welke aansluiten bij de behoeften van de opdrachtgever/klant
UITVOEREN
•	Student realiseert de benodigde deliverables conform die eisen en verwachtingen
•	Student onderbouwt de keuzes gemaakt tijdens het realiseren van die deliverables
•	Student borgt de kwaliteit van de deliverables door passende tests, controles, validaties
OVERDRACHT
•	Student zorgt er middels implementatie/overdrachts-activiteiten voor dat de opdrachtgever daadwerkelijk succes kan hebben met de geleverde resultaten
•	Student heeft een tevreden opdrachtgever
MATE VAN ZELFSTANDIGHEID
•	Student(en) heeft/hebben hierin zelfstandig gewerkt.</v>
      </c>
      <c r="B23" s="35" t="s">
        <v>103</v>
      </c>
      <c r="C23" s="69"/>
      <c r="D23" s="35" t="s">
        <v>103</v>
      </c>
      <c r="E23" s="69"/>
      <c r="F23" s="35" t="s">
        <v>103</v>
      </c>
      <c r="G23" s="69"/>
      <c r="H23" s="35" t="s">
        <v>103</v>
      </c>
      <c r="I23" s="70"/>
      <c r="K23" s="35" t="s">
        <v>103</v>
      </c>
      <c r="L23" s="69"/>
      <c r="M23" s="71"/>
    </row>
    <row r="24" spans="1:13" s="44" customFormat="1" ht="19" x14ac:dyDescent="0.25">
      <c r="A24" s="93"/>
      <c r="B24" s="59" t="str">
        <f>Data!$B$6</f>
        <v>Student 1</v>
      </c>
      <c r="C24" s="3" t="str">
        <f>IF(TAAL="Engels", Data!$E$26,Data!$E$25)</f>
        <v>Oordeel</v>
      </c>
      <c r="D24" s="59" t="str">
        <f>Data!$B$6</f>
        <v>Student 1</v>
      </c>
      <c r="E24" s="3" t="str">
        <f>IF(TAAL="Engels", Data!$E$26,Data!$E$25)</f>
        <v>Oordeel</v>
      </c>
      <c r="F24" s="59" t="str">
        <f>Data!$B$6</f>
        <v>Student 1</v>
      </c>
      <c r="G24" s="3" t="str">
        <f>IF(TAAL="Engels", Data!$E$26,Data!$E$25)</f>
        <v>Oordeel</v>
      </c>
      <c r="H24" s="59" t="str">
        <f>Data!$B$6</f>
        <v>Student 1</v>
      </c>
      <c r="I24" s="59" t="str">
        <f>IF(TAAL="Engels", Data!$E$26,Data!$E$25)</f>
        <v>Oordeel</v>
      </c>
      <c r="K24" s="59" t="str">
        <f>Data!$B$6</f>
        <v>Student 1</v>
      </c>
      <c r="L24" s="3" t="str">
        <f>IF(TAAL="Engels", Data!$E$26,Data!$E$25)</f>
        <v>Oordeel</v>
      </c>
      <c r="M24" s="3" t="str">
        <f>IF(TAAL="Engels", Data!$E$26,Data!$E$25)</f>
        <v>Oordeel</v>
      </c>
    </row>
    <row r="25" spans="1:13" ht="93.75" customHeight="1" thickBot="1" x14ac:dyDescent="0.25">
      <c r="A25" s="93"/>
      <c r="B25" s="35" t="s">
        <v>104</v>
      </c>
      <c r="C25" s="60"/>
      <c r="D25" s="35" t="s">
        <v>104</v>
      </c>
      <c r="E25" s="60"/>
      <c r="F25" s="35" t="s">
        <v>104</v>
      </c>
      <c r="G25" s="60"/>
      <c r="H25" s="35" t="s">
        <v>104</v>
      </c>
      <c r="I25" s="81"/>
      <c r="K25" s="35" t="s">
        <v>104</v>
      </c>
      <c r="L25" s="60"/>
      <c r="M25" s="82"/>
    </row>
    <row r="26" spans="1:13" s="44" customFormat="1" ht="19" x14ac:dyDescent="0.25">
      <c r="A26" s="93"/>
      <c r="B26" s="59" t="str">
        <f>Data!$B$8</f>
        <v>Student 2</v>
      </c>
      <c r="C26" s="3" t="str">
        <f>IF(TAAL="Engels", Data!$E$26,Data!$E$25)</f>
        <v>Oordeel</v>
      </c>
      <c r="D26" s="59" t="str">
        <f>Data!$B$8</f>
        <v>Student 2</v>
      </c>
      <c r="E26" s="3" t="str">
        <f>IF(TAAL="Engels", Data!$E$26,Data!$E$25)</f>
        <v>Oordeel</v>
      </c>
      <c r="F26" s="59" t="str">
        <f>Data!$B$8</f>
        <v>Student 2</v>
      </c>
      <c r="G26" s="3" t="str">
        <f>IF(TAAL="Engels", Data!$E$26,Data!$E$25)</f>
        <v>Oordeel</v>
      </c>
      <c r="H26" s="59" t="str">
        <f>Data!$B$8</f>
        <v>Student 2</v>
      </c>
      <c r="I26" s="59" t="str">
        <f>IF(TAAL="Engels", Data!$E$26,Data!$E$25)</f>
        <v>Oordeel</v>
      </c>
      <c r="K26" s="59" t="str">
        <f>Data!$B$8</f>
        <v>Student 2</v>
      </c>
      <c r="L26" s="3" t="str">
        <f>IF(TAAL="Engels", Data!$E$26,Data!$E$25)</f>
        <v>Oordeel</v>
      </c>
      <c r="M26" s="3" t="str">
        <f>IF(TAAL="Engels", Data!$E$26,Data!$E$25)</f>
        <v>Oordeel</v>
      </c>
    </row>
    <row r="27" spans="1:13" ht="83.25" customHeight="1" thickBot="1" x14ac:dyDescent="0.25">
      <c r="A27" s="94"/>
      <c r="B27" s="35" t="s">
        <v>105</v>
      </c>
      <c r="C27" s="60"/>
      <c r="D27" s="35" t="s">
        <v>105</v>
      </c>
      <c r="E27" s="60"/>
      <c r="F27" s="35" t="s">
        <v>105</v>
      </c>
      <c r="G27" s="60"/>
      <c r="H27" s="35" t="s">
        <v>105</v>
      </c>
      <c r="I27" s="81"/>
      <c r="K27" s="35" t="s">
        <v>105</v>
      </c>
      <c r="L27" s="60"/>
      <c r="M27" s="82"/>
    </row>
    <row r="28" spans="1:13" s="44" customFormat="1" ht="19" x14ac:dyDescent="0.25">
      <c r="A28" s="66" t="str">
        <f>IF(TAAL="Engels", Competenties!$D$5, Competenties!$A$5)</f>
        <v>Competentie 3: 
Onderzoekend vermogen</v>
      </c>
      <c r="B28" s="59" t="str">
        <f>IF(TAAL="Engels", Data!$E$24,Data!$E$23)</f>
        <v>Motivatie en toelichting</v>
      </c>
      <c r="C28" s="3"/>
      <c r="D28" s="59" t="str">
        <f>IF(TAAL="Engels", Data!$E$24,Data!$E$23)</f>
        <v>Motivatie en toelichting</v>
      </c>
      <c r="E28" s="3"/>
      <c r="F28" s="59" t="str">
        <f>IF(TAAL="Engels", Data!$E$24,Data!$E$23)</f>
        <v>Motivatie en toelichting</v>
      </c>
      <c r="G28" s="3"/>
      <c r="H28" s="59" t="str">
        <f>IF(TAAL="Engels", Data!$E$24,Data!$E$23)</f>
        <v>Motivatie en toelichting</v>
      </c>
      <c r="I28" s="59"/>
      <c r="K28" s="59" t="str">
        <f>IF(TAAL="Engels", Data!$E$24,Data!$E$23)</f>
        <v>Motivatie en toelichting</v>
      </c>
      <c r="L28" s="3"/>
      <c r="M28" s="3"/>
    </row>
    <row r="29" spans="1:13" ht="95.25" customHeight="1" thickBot="1" x14ac:dyDescent="0.25">
      <c r="A29" s="92" t="str">
        <f>IF(TAAL="Engels", Competenties!$E$5, Competenties!$B$5)</f>
        <v>ONDERZOEKEN
•	Student bepaalt een relevante hoofdvraag/probleemstelling
•	Student voert op systematische wijze onderzoek uit (denk aan: construeren logische set onderzoeksvragen, kiezen van passende onderzoeksmethoden, triangulatie, etc.)
•	Student verzamelt en analyseert ontbrekende informatie uit diverse bronnen
KRITISCH DENKEN
•	Student gebruikt hierbij (wetenschappelijke) inzichten van anderen, oriënteert zich breed en is kritisch op gebruikte bronnen
•	Student overweegt alternatieven en onderbouwt keuzes door middel van onafhankelijke/objectieve informatie en logische redenering
MATE VAN ZELFSTANDIGHEID
•	Student(en) heeft/hebben hierin zelfstandig gewerkt.</v>
      </c>
      <c r="B29" s="35" t="s">
        <v>103</v>
      </c>
      <c r="C29" s="69"/>
      <c r="D29" s="35" t="s">
        <v>103</v>
      </c>
      <c r="E29" s="69"/>
      <c r="F29" s="35" t="s">
        <v>103</v>
      </c>
      <c r="G29" s="69"/>
      <c r="H29" s="35" t="s">
        <v>103</v>
      </c>
      <c r="I29" s="70"/>
      <c r="K29" s="35" t="s">
        <v>103</v>
      </c>
      <c r="L29" s="69"/>
      <c r="M29" s="71"/>
    </row>
    <row r="30" spans="1:13" s="44" customFormat="1" ht="19" x14ac:dyDescent="0.25">
      <c r="A30" s="93"/>
      <c r="B30" s="59" t="str">
        <f>Data!$B$6</f>
        <v>Student 1</v>
      </c>
      <c r="C30" s="3" t="str">
        <f>IF(TAAL="Engels", Data!$E$26,Data!$E$25)</f>
        <v>Oordeel</v>
      </c>
      <c r="D30" s="59" t="str">
        <f>Data!$B$6</f>
        <v>Student 1</v>
      </c>
      <c r="E30" s="3" t="str">
        <f>IF(TAAL="Engels", Data!$E$26,Data!$E$25)</f>
        <v>Oordeel</v>
      </c>
      <c r="F30" s="59" t="str">
        <f>Data!$B$6</f>
        <v>Student 1</v>
      </c>
      <c r="G30" s="3" t="str">
        <f>IF(TAAL="Engels", Data!$E$26,Data!$E$25)</f>
        <v>Oordeel</v>
      </c>
      <c r="H30" s="59" t="str">
        <f>Data!$B$6</f>
        <v>Student 1</v>
      </c>
      <c r="I30" s="59" t="str">
        <f>IF(TAAL="Engels", Data!$E$26,Data!$E$25)</f>
        <v>Oordeel</v>
      </c>
      <c r="K30" s="59" t="str">
        <f>Data!$B$6</f>
        <v>Student 1</v>
      </c>
      <c r="L30" s="3" t="str">
        <f>IF(TAAL="Engels", Data!$E$26,Data!$E$25)</f>
        <v>Oordeel</v>
      </c>
      <c r="M30" s="3" t="str">
        <f>IF(TAAL="Engels", Data!$E$26,Data!$E$25)</f>
        <v>Oordeel</v>
      </c>
    </row>
    <row r="31" spans="1:13" ht="93.75" customHeight="1" thickBot="1" x14ac:dyDescent="0.25">
      <c r="A31" s="93"/>
      <c r="B31" s="35" t="s">
        <v>104</v>
      </c>
      <c r="C31" s="60"/>
      <c r="D31" s="35" t="s">
        <v>104</v>
      </c>
      <c r="E31" s="60"/>
      <c r="F31" s="35" t="s">
        <v>104</v>
      </c>
      <c r="G31" s="60"/>
      <c r="H31" s="35" t="s">
        <v>104</v>
      </c>
      <c r="I31" s="81"/>
      <c r="K31" s="35" t="s">
        <v>104</v>
      </c>
      <c r="L31" s="60"/>
      <c r="M31" s="82"/>
    </row>
    <row r="32" spans="1:13" s="44" customFormat="1" ht="19" x14ac:dyDescent="0.25">
      <c r="A32" s="93"/>
      <c r="B32" s="59" t="str">
        <f>Data!$B$8</f>
        <v>Student 2</v>
      </c>
      <c r="C32" s="3" t="str">
        <f>IF(TAAL="Engels", Data!$E$26,Data!$E$25)</f>
        <v>Oordeel</v>
      </c>
      <c r="D32" s="59" t="str">
        <f>Data!$B$8</f>
        <v>Student 2</v>
      </c>
      <c r="E32" s="3" t="str">
        <f>IF(TAAL="Engels", Data!$E$26,Data!$E$25)</f>
        <v>Oordeel</v>
      </c>
      <c r="F32" s="59" t="str">
        <f>Data!$B$8</f>
        <v>Student 2</v>
      </c>
      <c r="G32" s="3" t="str">
        <f>IF(TAAL="Engels", Data!$E$26,Data!$E$25)</f>
        <v>Oordeel</v>
      </c>
      <c r="H32" s="59" t="str">
        <f>Data!$B$8</f>
        <v>Student 2</v>
      </c>
      <c r="I32" s="59" t="str">
        <f>IF(TAAL="Engels", Data!$E$26,Data!$E$25)</f>
        <v>Oordeel</v>
      </c>
      <c r="K32" s="59" t="str">
        <f>Data!$B$8</f>
        <v>Student 2</v>
      </c>
      <c r="L32" s="3" t="str">
        <f>IF(TAAL="Engels", Data!$E$26,Data!$E$25)</f>
        <v>Oordeel</v>
      </c>
      <c r="M32" s="3" t="str">
        <f>IF(TAAL="Engels", Data!$E$26,Data!$E$25)</f>
        <v>Oordeel</v>
      </c>
    </row>
    <row r="33" spans="1:13" ht="83.25" customHeight="1" thickBot="1" x14ac:dyDescent="0.25">
      <c r="A33" s="94"/>
      <c r="B33" s="35" t="s">
        <v>105</v>
      </c>
      <c r="C33" s="60"/>
      <c r="D33" s="35" t="s">
        <v>105</v>
      </c>
      <c r="E33" s="60"/>
      <c r="F33" s="35" t="s">
        <v>105</v>
      </c>
      <c r="G33" s="60"/>
      <c r="H33" s="35" t="s">
        <v>105</v>
      </c>
      <c r="I33" s="81"/>
      <c r="K33" s="35" t="s">
        <v>105</v>
      </c>
      <c r="L33" s="60"/>
      <c r="M33" s="82"/>
    </row>
    <row r="34" spans="1:13" s="44" customFormat="1" ht="19" x14ac:dyDescent="0.25">
      <c r="A34" s="66" t="str">
        <f>IF(TAAL="Engels", Competenties!$D$6, Competenties!$A$6)</f>
        <v>Competentie 4: 
Samenwerken &amp; communiceren</v>
      </c>
      <c r="B34" s="59" t="str">
        <f>IF(TAAL="Engels", Data!$E$24,Data!$E$23)</f>
        <v>Motivatie en toelichting</v>
      </c>
      <c r="C34" s="3"/>
      <c r="D34" s="59" t="str">
        <f>IF(TAAL="Engels", Data!$E$24,Data!$E$23)</f>
        <v>Motivatie en toelichting</v>
      </c>
      <c r="E34" s="3"/>
      <c r="F34" s="59" t="str">
        <f>IF(TAAL="Engels", Data!$E$24,Data!$E$23)</f>
        <v>Motivatie en toelichting</v>
      </c>
      <c r="G34" s="3"/>
      <c r="H34" s="59" t="str">
        <f>IF(TAAL="Engels", Data!$E$24,Data!$E$23)</f>
        <v>Motivatie en toelichting</v>
      </c>
      <c r="I34" s="59"/>
      <c r="K34" s="59" t="str">
        <f>IF(TAAL="Engels", Data!$E$24,Data!$E$23)</f>
        <v>Motivatie en toelichting</v>
      </c>
      <c r="L34" s="3"/>
      <c r="M34" s="3"/>
    </row>
    <row r="35" spans="1:13" ht="95.25" customHeight="1" thickBot="1" x14ac:dyDescent="0.25">
      <c r="A35" s="92" t="str">
        <f>IF(TAAL="Engels", Competenties!$E$6, Competenties!$B$6)</f>
        <v>PROACTIEVE HOUDING
•	Student stemt proactief af met de relevante stakeholders, waaronder in elk geval de opdrachtgever, bedrijfsbegeleider en docent-begeleider. Daaronder valt in ieder geval het op de hoogte houden van de voortgang.
MONDELING
•	Student laat goede mondelinge communicatievaardigheden zien, in bijvoorbeeld gesprekken en presentaties
SCHRIFTELIJK
•	Student laat goede schriftelijke communicatievaardigheden zien (goed gestructureerd, taalgebruik is verzorgd, en voldoende passend bij de doelgroep)</v>
      </c>
      <c r="B35" s="35" t="s">
        <v>103</v>
      </c>
      <c r="C35" s="69"/>
      <c r="D35" s="35" t="s">
        <v>103</v>
      </c>
      <c r="E35" s="69"/>
      <c r="F35" s="35" t="s">
        <v>103</v>
      </c>
      <c r="G35" s="69"/>
      <c r="H35" s="35" t="s">
        <v>103</v>
      </c>
      <c r="I35" s="70"/>
      <c r="K35" s="35" t="s">
        <v>103</v>
      </c>
      <c r="L35" s="69"/>
      <c r="M35" s="71"/>
    </row>
    <row r="36" spans="1:13" s="44" customFormat="1" ht="19" x14ac:dyDescent="0.25">
      <c r="A36" s="93"/>
      <c r="B36" s="59" t="str">
        <f>Data!$B$6</f>
        <v>Student 1</v>
      </c>
      <c r="C36" s="3" t="str">
        <f>IF(TAAL="Engels", Data!$E$26,Data!$E$25)</f>
        <v>Oordeel</v>
      </c>
      <c r="D36" s="59" t="str">
        <f>Data!$B$6</f>
        <v>Student 1</v>
      </c>
      <c r="E36" s="3" t="str">
        <f>IF(TAAL="Engels", Data!$E$26,Data!$E$25)</f>
        <v>Oordeel</v>
      </c>
      <c r="F36" s="59" t="str">
        <f>Data!$B$6</f>
        <v>Student 1</v>
      </c>
      <c r="G36" s="3" t="str">
        <f>IF(TAAL="Engels", Data!$E$26,Data!$E$25)</f>
        <v>Oordeel</v>
      </c>
      <c r="H36" s="59" t="str">
        <f>Data!$B$6</f>
        <v>Student 1</v>
      </c>
      <c r="I36" s="59" t="str">
        <f>IF(TAAL="Engels", Data!$E$26,Data!$E$25)</f>
        <v>Oordeel</v>
      </c>
      <c r="K36" s="59" t="str">
        <f>Data!$B$6</f>
        <v>Student 1</v>
      </c>
      <c r="L36" s="3" t="str">
        <f>IF(TAAL="Engels", Data!$E$26,Data!$E$25)</f>
        <v>Oordeel</v>
      </c>
      <c r="M36" s="3" t="str">
        <f>IF(TAAL="Engels", Data!$E$26,Data!$E$25)</f>
        <v>Oordeel</v>
      </c>
    </row>
    <row r="37" spans="1:13" ht="93.75" customHeight="1" thickBot="1" x14ac:dyDescent="0.25">
      <c r="A37" s="93"/>
      <c r="B37" s="35" t="s">
        <v>104</v>
      </c>
      <c r="C37" s="60"/>
      <c r="D37" s="35" t="s">
        <v>104</v>
      </c>
      <c r="E37" s="60"/>
      <c r="F37" s="35" t="s">
        <v>104</v>
      </c>
      <c r="G37" s="60"/>
      <c r="H37" s="35" t="s">
        <v>104</v>
      </c>
      <c r="I37" s="81"/>
      <c r="K37" s="35" t="s">
        <v>104</v>
      </c>
      <c r="L37" s="60"/>
      <c r="M37" s="82"/>
    </row>
    <row r="38" spans="1:13" s="44" customFormat="1" ht="19" x14ac:dyDescent="0.25">
      <c r="A38" s="93"/>
      <c r="B38" s="59" t="str">
        <f>Data!$B$8</f>
        <v>Student 2</v>
      </c>
      <c r="C38" s="3" t="str">
        <f>IF(TAAL="Engels", Data!$E$26,Data!$E$25)</f>
        <v>Oordeel</v>
      </c>
      <c r="D38" s="59" t="str">
        <f>Data!$B$8</f>
        <v>Student 2</v>
      </c>
      <c r="E38" s="3" t="str">
        <f>IF(TAAL="Engels", Data!$E$26,Data!$E$25)</f>
        <v>Oordeel</v>
      </c>
      <c r="F38" s="59" t="str">
        <f>Data!$B$8</f>
        <v>Student 2</v>
      </c>
      <c r="G38" s="3" t="str">
        <f>IF(TAAL="Engels", Data!$E$26,Data!$E$25)</f>
        <v>Oordeel</v>
      </c>
      <c r="H38" s="59" t="str">
        <f>Data!$B$8</f>
        <v>Student 2</v>
      </c>
      <c r="I38" s="59" t="str">
        <f>IF(TAAL="Engels", Data!$E$26,Data!$E$25)</f>
        <v>Oordeel</v>
      </c>
      <c r="K38" s="59" t="str">
        <f>Data!$B$8</f>
        <v>Student 2</v>
      </c>
      <c r="L38" s="3" t="str">
        <f>IF(TAAL="Engels", Data!$E$26,Data!$E$25)</f>
        <v>Oordeel</v>
      </c>
      <c r="M38" s="3" t="str">
        <f>IF(TAAL="Engels", Data!$E$26,Data!$E$25)</f>
        <v>Oordeel</v>
      </c>
    </row>
    <row r="39" spans="1:13" ht="83.25" customHeight="1" thickBot="1" x14ac:dyDescent="0.25">
      <c r="A39" s="94"/>
      <c r="B39" s="35" t="s">
        <v>105</v>
      </c>
      <c r="C39" s="60"/>
      <c r="D39" s="35" t="s">
        <v>105</v>
      </c>
      <c r="E39" s="60"/>
      <c r="F39" s="35" t="s">
        <v>105</v>
      </c>
      <c r="G39" s="60"/>
      <c r="H39" s="35" t="s">
        <v>105</v>
      </c>
      <c r="I39" s="81"/>
      <c r="K39" s="35" t="s">
        <v>105</v>
      </c>
      <c r="L39" s="60"/>
      <c r="M39" s="82"/>
    </row>
    <row r="40" spans="1:13" s="44" customFormat="1" ht="19" x14ac:dyDescent="0.25">
      <c r="A40" s="66" t="str">
        <f>IF(TAAL="Engels", Competenties!$D$7, Competenties!$A$7)</f>
        <v>Competentie 5: 
Professionele houding</v>
      </c>
      <c r="B40" s="59" t="str">
        <f>IF(TAAL="Engels", Data!$E$24,Data!$E$23)</f>
        <v>Motivatie en toelichting</v>
      </c>
      <c r="C40" s="3"/>
      <c r="D40" s="59" t="str">
        <f>IF(TAAL="Engels", Data!$E$24,Data!$E$23)</f>
        <v>Motivatie en toelichting</v>
      </c>
      <c r="E40" s="3"/>
      <c r="F40" s="59" t="str">
        <f>IF(TAAL="Engels", Data!$E$24,Data!$E$23)</f>
        <v>Motivatie en toelichting</v>
      </c>
      <c r="G40" s="3"/>
      <c r="H40" s="59" t="str">
        <f>IF(TAAL="Engels", Data!$E$24,Data!$E$23)</f>
        <v>Motivatie en toelichting</v>
      </c>
      <c r="I40" s="59"/>
      <c r="K40" s="59" t="str">
        <f>IF(TAAL="Engels", Data!$E$24,Data!$E$23)</f>
        <v>Motivatie en toelichting</v>
      </c>
      <c r="L40" s="3"/>
      <c r="M40" s="3"/>
    </row>
    <row r="41" spans="1:13" ht="95.25" customHeight="1" thickBot="1" x14ac:dyDescent="0.25">
      <c r="A41" s="92" t="str">
        <f>IF(TAAL="Engels", Competenties!$E$7, Competenties!$B$7)</f>
        <v>PROFESSIONEEL WERKNEMER/OPDRACHTNEMER
•	Student functioneert als beginnend professional in de organisatie
•	Student toont eigenaarschap voor de opdracht en neemt initiatief om de opdracht succesvol te voltooien
MAATSCHAPPELIJKE VERANTWOORDELIJKHEID
•	Student houdt bij het uitvoeren van de opdracht expliciet rekening met de impact op anderen (denk aan: de maatschappij, milieu/planeet, privacy/security, etc.).
ZELFSTURING
•	Student heeft inzicht in eigen competenties en handelen (zelfreflectie)
•	Student toont eigenaarschap van de persoonlijke ontwikkeling door onderbouwde keuzes te maken
•	Student gaat professioneel en effectief om met (on)gevraagde feedback</v>
      </c>
      <c r="B41" s="35" t="s">
        <v>103</v>
      </c>
      <c r="C41" s="69"/>
      <c r="D41" s="35" t="s">
        <v>103</v>
      </c>
      <c r="E41" s="69"/>
      <c r="F41" s="35" t="s">
        <v>103</v>
      </c>
      <c r="G41" s="69"/>
      <c r="H41" s="35" t="s">
        <v>103</v>
      </c>
      <c r="I41" s="70"/>
      <c r="K41" s="35" t="s">
        <v>103</v>
      </c>
      <c r="L41" s="69"/>
      <c r="M41" s="71"/>
    </row>
    <row r="42" spans="1:13" s="44" customFormat="1" ht="19" x14ac:dyDescent="0.25">
      <c r="A42" s="93"/>
      <c r="B42" s="59" t="str">
        <f>Data!$B$6</f>
        <v>Student 1</v>
      </c>
      <c r="C42" s="3" t="str">
        <f>IF(TAAL="Engels", Data!$E$26,Data!$E$25)</f>
        <v>Oordeel</v>
      </c>
      <c r="D42" s="59" t="str">
        <f>Data!$B$6</f>
        <v>Student 1</v>
      </c>
      <c r="E42" s="3" t="str">
        <f>IF(TAAL="Engels", Data!$E$26,Data!$E$25)</f>
        <v>Oordeel</v>
      </c>
      <c r="F42" s="59" t="str">
        <f>Data!$B$6</f>
        <v>Student 1</v>
      </c>
      <c r="G42" s="3" t="str">
        <f>IF(TAAL="Engels", Data!$E$26,Data!$E$25)</f>
        <v>Oordeel</v>
      </c>
      <c r="H42" s="59" t="str">
        <f>Data!$B$6</f>
        <v>Student 1</v>
      </c>
      <c r="I42" s="59" t="str">
        <f>IF(TAAL="Engels", Data!$E$26,Data!$E$25)</f>
        <v>Oordeel</v>
      </c>
      <c r="K42" s="59" t="str">
        <f>Data!$B$6</f>
        <v>Student 1</v>
      </c>
      <c r="L42" s="3" t="str">
        <f>IF(TAAL="Engels", Data!$E$26,Data!$E$25)</f>
        <v>Oordeel</v>
      </c>
      <c r="M42" s="3" t="str">
        <f>IF(TAAL="Engels", Data!$E$26,Data!$E$25)</f>
        <v>Oordeel</v>
      </c>
    </row>
    <row r="43" spans="1:13" ht="93.75" customHeight="1" thickBot="1" x14ac:dyDescent="0.25">
      <c r="A43" s="93"/>
      <c r="B43" s="35" t="s">
        <v>104</v>
      </c>
      <c r="C43" s="60"/>
      <c r="D43" s="35" t="s">
        <v>104</v>
      </c>
      <c r="E43" s="60"/>
      <c r="F43" s="35" t="s">
        <v>104</v>
      </c>
      <c r="G43" s="60"/>
      <c r="H43" s="35" t="s">
        <v>104</v>
      </c>
      <c r="I43" s="81"/>
      <c r="K43" s="35" t="s">
        <v>104</v>
      </c>
      <c r="L43" s="60"/>
      <c r="M43" s="82"/>
    </row>
    <row r="44" spans="1:13" s="44" customFormat="1" ht="19" x14ac:dyDescent="0.25">
      <c r="A44" s="93"/>
      <c r="B44" s="59" t="str">
        <f>Data!$B$8</f>
        <v>Student 2</v>
      </c>
      <c r="C44" s="3" t="str">
        <f>IF(TAAL="Engels", Data!$E$26,Data!$E$25)</f>
        <v>Oordeel</v>
      </c>
      <c r="D44" s="59" t="str">
        <f>Data!$B$8</f>
        <v>Student 2</v>
      </c>
      <c r="E44" s="3" t="str">
        <f>IF(TAAL="Engels", Data!$E$26,Data!$E$25)</f>
        <v>Oordeel</v>
      </c>
      <c r="F44" s="59" t="str">
        <f>Data!$B$8</f>
        <v>Student 2</v>
      </c>
      <c r="G44" s="3" t="str">
        <f>IF(TAAL="Engels", Data!$E$26,Data!$E$25)</f>
        <v>Oordeel</v>
      </c>
      <c r="H44" s="59" t="str">
        <f>Data!$B$8</f>
        <v>Student 2</v>
      </c>
      <c r="I44" s="59" t="str">
        <f>IF(TAAL="Engels", Data!$E$26,Data!$E$25)</f>
        <v>Oordeel</v>
      </c>
      <c r="K44" s="59" t="str">
        <f>Data!$B$8</f>
        <v>Student 2</v>
      </c>
      <c r="L44" s="3" t="str">
        <f>IF(TAAL="Engels", Data!$E$26,Data!$E$25)</f>
        <v>Oordeel</v>
      </c>
      <c r="M44" s="3" t="str">
        <f>IF(TAAL="Engels", Data!$E$26,Data!$E$25)</f>
        <v>Oordeel</v>
      </c>
    </row>
    <row r="45" spans="1:13" ht="83.25" customHeight="1" thickBot="1" x14ac:dyDescent="0.25">
      <c r="A45" s="94"/>
      <c r="B45" s="35" t="s">
        <v>105</v>
      </c>
      <c r="C45" s="60"/>
      <c r="D45" s="35" t="s">
        <v>105</v>
      </c>
      <c r="E45" s="60"/>
      <c r="F45" s="35" t="s">
        <v>105</v>
      </c>
      <c r="G45" s="60"/>
      <c r="H45" s="35" t="s">
        <v>105</v>
      </c>
      <c r="I45" s="81"/>
      <c r="K45" s="35" t="s">
        <v>105</v>
      </c>
      <c r="L45" s="60"/>
      <c r="M45" s="82"/>
    </row>
  </sheetData>
  <sheetProtection algorithmName="SHA-512" hashValue="6z0YUTzD3OJqCnQF1/ukMPHt+sVBFkb4QTTxDvzf+4Qg9EYTcW9S0R4F0lNlIds+dTI+a364gzfnW3gF8alENw==" saltValue="RMLVR4tGHjPTvTGiAkJrsw==" spinCount="100000" sheet="1" objects="1" scenarios="1" formatCells="0" formatRows="0"/>
  <mergeCells count="17">
    <mergeCell ref="M12:M15"/>
    <mergeCell ref="A17:A21"/>
    <mergeCell ref="B1:G1"/>
    <mergeCell ref="L1:L15"/>
    <mergeCell ref="E3:E15"/>
    <mergeCell ref="G3:G15"/>
    <mergeCell ref="B5:C5"/>
    <mergeCell ref="B6:C6"/>
    <mergeCell ref="B7:C7"/>
    <mergeCell ref="B8:C8"/>
    <mergeCell ref="A23:A27"/>
    <mergeCell ref="A29:A33"/>
    <mergeCell ref="A35:A39"/>
    <mergeCell ref="A41:A45"/>
    <mergeCell ref="B9:C9"/>
    <mergeCell ref="C10:C15"/>
    <mergeCell ref="A12:A15"/>
  </mergeCells>
  <conditionalFormatting sqref="I17:J17 I1:J5 I19:J19 I21:J21 I23:J23 I25:J25 I27:J27 I29:J29 I31:J31 I33:J33 I35:J35 I37:J37 I39:J39 I41:J41 I43:J43 I45:J1048576">
    <cfRule type="colorScale" priority="87">
      <colorScale>
        <cfvo type="num" val="1"/>
        <cfvo type="num" val="5.5"/>
        <cfvo type="num" val="10"/>
        <color rgb="FFF8696B"/>
        <color rgb="FFFFEB84"/>
        <color rgb="FF63BE7B"/>
      </colorScale>
    </cfRule>
  </conditionalFormatting>
  <conditionalFormatting sqref="M1:M5 M17 M19 M21 M23 M25 M27 M29 M31 M33 M35 M37 M39 M41 M43 M45:M1048576">
    <cfRule type="colorScale" priority="86">
      <colorScale>
        <cfvo type="num" val="1"/>
        <cfvo type="num" val="5.5"/>
        <cfvo type="num" val="10"/>
        <color rgb="FFF8696B"/>
        <color rgb="FFFFEB84"/>
        <color rgb="FF63BE7B"/>
      </colorScale>
    </cfRule>
  </conditionalFormatting>
  <pageMargins left="0.7" right="0.7" top="0.75" bottom="0.75" header="0.3" footer="0.3"/>
  <pageSetup paperSize="9" scale="15" fitToHeight="0" orientation="portrait" r:id="rId1"/>
  <extLst>
    <ext xmlns:x14="http://schemas.microsoft.com/office/spreadsheetml/2009/9/main" uri="{78C0D931-6437-407d-A8EE-F0AAD7539E65}">
      <x14:conditionalFormattings>
        <x14:conditionalFormatting xmlns:xm="http://schemas.microsoft.com/office/excel/2006/main">
          <x14:cfRule type="cellIs" priority="85" operator="equal" id="{527F2EE4-AEDA-4F8F-A06F-79564139B29E}">
            <xm:f>Data!$A$29</xm:f>
            <x14:dxf>
              <fill>
                <patternFill>
                  <bgColor theme="0" tint="-0.24994659260841701"/>
                </patternFill>
              </fill>
            </x14:dxf>
          </x14:cfRule>
          <x14:cfRule type="cellIs" priority="84" operator="equal" id="{3EA858D9-3335-4FC4-AB5B-56BC3A9139D6}">
            <xm:f>Data!$A$28</xm:f>
            <x14:dxf>
              <font>
                <color auto="1"/>
              </font>
              <fill>
                <patternFill patternType="none">
                  <bgColor auto="1"/>
                </patternFill>
              </fill>
            </x14:dxf>
          </x14:cfRule>
          <x14:cfRule type="cellIs" priority="83" operator="equal" id="{C5DCCE52-081C-4BC4-9290-949AFC75EE13}">
            <xm:f>Data!$A$27</xm:f>
            <x14:dxf>
              <font>
                <color theme="0"/>
              </font>
              <fill>
                <patternFill>
                  <bgColor rgb="FFFF0000"/>
                </patternFill>
              </fill>
            </x14:dxf>
          </x14:cfRule>
          <x14:cfRule type="cellIs" priority="82" operator="equal" id="{A0B9BE58-5428-4954-8C9E-2531FD47915C}">
            <xm:f>Data!$A$26</xm:f>
            <x14:dxf>
              <font>
                <color theme="5" tint="-0.24994659260841701"/>
              </font>
              <fill>
                <patternFill>
                  <bgColor theme="7"/>
                </patternFill>
              </fill>
            </x14:dxf>
          </x14:cfRule>
          <x14:cfRule type="cellIs" priority="81" operator="equal" id="{5E084B58-AF3F-4EA7-BC19-946ABF55B593}">
            <xm:f>Data!$A$25</xm:f>
            <x14:dxf>
              <font>
                <color theme="0"/>
              </font>
              <fill>
                <patternFill>
                  <bgColor theme="9"/>
                </patternFill>
              </fill>
            </x14:dxf>
          </x14:cfRule>
          <xm:sqref>C2 E2:E3 G2:G3 M6:M9 C10 I16:J16 C16:C1048576 E16:E1048576 G16:G1048576 L16:L1048576 I18:J18 I20:J20 I22:J22 I24:J24 I26:J26 I28:J28 I30:J30 I32:J32 I34:J34 I36:J36 I38:J38 I40:J40 I42:J42 I44:J44</xm:sqref>
        </x14:conditionalFormatting>
        <x14:conditionalFormatting xmlns:xm="http://schemas.microsoft.com/office/excel/2006/main">
          <x14:cfRule type="cellIs" priority="75" operator="equal" id="{485F86DD-DB69-4348-90E4-4303E544C9CF}">
            <xm:f>Data!$A$25</xm:f>
            <x14:dxf>
              <font>
                <color theme="0"/>
              </font>
              <fill>
                <patternFill>
                  <bgColor theme="9"/>
                </patternFill>
              </fill>
            </x14:dxf>
          </x14:cfRule>
          <x14:cfRule type="cellIs" priority="74" operator="equal" id="{432A4E36-63EB-434E-A3C5-B2ADB9AAB3DF}">
            <xm:f>Data!$A$27</xm:f>
            <x14:dxf>
              <font>
                <color rgb="FF9C5700"/>
              </font>
              <fill>
                <patternFill>
                  <bgColor rgb="FFFFEB9C"/>
                </patternFill>
              </fill>
            </x14:dxf>
          </x14:cfRule>
          <x14:cfRule type="cellIs" priority="73" operator="equal" id="{6FA96207-C844-4A82-9C23-D71CA0F53116}">
            <xm:f>Data!$A$28</xm:f>
            <x14:dxf>
              <font>
                <color rgb="FF9C0006"/>
              </font>
              <fill>
                <patternFill>
                  <bgColor rgb="FFFFC7CE"/>
                </patternFill>
              </fill>
            </x14:dxf>
          </x14:cfRule>
          <x14:cfRule type="cellIs" priority="72" operator="equal" id="{51224983-45EE-4AAD-B97D-EA1722DA58F5}">
            <xm:f>Data!$A$29</xm:f>
            <x14:dxf>
              <fill>
                <patternFill>
                  <bgColor theme="0" tint="-0.24994659260841701"/>
                </patternFill>
              </fill>
            </x14:dxf>
          </x14:cfRule>
          <x14:cfRule type="cellIs" priority="71" operator="equal" id="{56DEF40A-69CA-4546-AFDC-514177D3882E}">
            <xm:f>Data!$A$26</xm:f>
            <x14:dxf>
              <font>
                <color rgb="FF006100"/>
              </font>
              <fill>
                <patternFill>
                  <bgColor rgb="FFC6EFCE"/>
                </patternFill>
              </fill>
            </x14:dxf>
          </x14:cfRule>
          <xm:sqref>L1</xm:sqref>
        </x14:conditionalFormatting>
        <x14:conditionalFormatting xmlns:xm="http://schemas.microsoft.com/office/excel/2006/main">
          <x14:cfRule type="cellIs" priority="80" operator="equal" id="{F9036121-F177-45D4-9EAC-EA32C254B639}">
            <xm:f>Data!$A$25</xm:f>
            <x14:dxf>
              <font>
                <color theme="0"/>
              </font>
              <fill>
                <patternFill>
                  <bgColor theme="9"/>
                </patternFill>
              </fill>
            </x14:dxf>
          </x14:cfRule>
          <x14:cfRule type="cellIs" priority="79" operator="equal" id="{E65013AC-E3B9-463F-B60E-1446B9A20ADB}">
            <xm:f>Data!$A$27</xm:f>
            <x14:dxf>
              <font>
                <color rgb="FF9C5700"/>
              </font>
              <fill>
                <patternFill>
                  <bgColor rgb="FFFFEB9C"/>
                </patternFill>
              </fill>
            </x14:dxf>
          </x14:cfRule>
          <x14:cfRule type="cellIs" priority="78" operator="equal" id="{4FDF1B0A-FF21-449B-B4D5-966254E128E0}">
            <xm:f>Data!$A$28</xm:f>
            <x14:dxf>
              <font>
                <color rgb="FF9C0006"/>
              </font>
              <fill>
                <patternFill>
                  <bgColor rgb="FFFFC7CE"/>
                </patternFill>
              </fill>
            </x14:dxf>
          </x14:cfRule>
          <x14:cfRule type="cellIs" priority="77" operator="equal" id="{0AB0117F-5EAE-477A-B19C-0D6EB0DB7620}">
            <xm:f>Data!$A$29</xm:f>
            <x14:dxf>
              <fill>
                <patternFill>
                  <bgColor theme="0" tint="-0.24994659260841701"/>
                </patternFill>
              </fill>
            </x14:dxf>
          </x14:cfRule>
          <x14:cfRule type="cellIs" priority="76" operator="equal" id="{070FF41A-5E05-4211-BE49-24AA51B84742}">
            <xm:f>Data!$A$26</xm:f>
            <x14:dxf>
              <font>
                <color rgb="FF006100"/>
              </font>
              <fill>
                <patternFill>
                  <bgColor rgb="FFC6EFCE"/>
                </patternFill>
              </fill>
            </x14:dxf>
          </x14:cfRule>
          <xm:sqref>M16</xm:sqref>
        </x14:conditionalFormatting>
        <x14:conditionalFormatting xmlns:xm="http://schemas.microsoft.com/office/excel/2006/main">
          <x14:cfRule type="cellIs" priority="66" operator="equal" id="{DF447975-CD1E-4030-8BBF-6C6A4806A92E}">
            <xm:f>Data!$A$26</xm:f>
            <x14:dxf>
              <font>
                <color rgb="FF006100"/>
              </font>
              <fill>
                <patternFill>
                  <bgColor rgb="FFC6EFCE"/>
                </patternFill>
              </fill>
            </x14:dxf>
          </x14:cfRule>
          <x14:cfRule type="cellIs" priority="69" operator="equal" id="{FB56D331-ADA5-4CE5-A1AA-92C35FDC7898}">
            <xm:f>Data!$A$27</xm:f>
            <x14:dxf>
              <font>
                <color rgb="FF9C5700"/>
              </font>
              <fill>
                <patternFill>
                  <bgColor rgb="FFFFEB9C"/>
                </patternFill>
              </fill>
            </x14:dxf>
          </x14:cfRule>
          <x14:cfRule type="cellIs" priority="68" operator="equal" id="{FCB45BE2-9872-46C0-88A2-A23DD2D36588}">
            <xm:f>Data!$A$28</xm:f>
            <x14:dxf>
              <font>
                <color rgb="FF9C0006"/>
              </font>
              <fill>
                <patternFill>
                  <bgColor rgb="FFFFC7CE"/>
                </patternFill>
              </fill>
            </x14:dxf>
          </x14:cfRule>
          <x14:cfRule type="cellIs" priority="67" operator="equal" id="{3CFC4101-BE1C-4542-B555-F7E3F2A014C5}">
            <xm:f>Data!$A$29</xm:f>
            <x14:dxf>
              <fill>
                <patternFill>
                  <bgColor theme="0" tint="-0.24994659260841701"/>
                </patternFill>
              </fill>
            </x14:dxf>
          </x14:cfRule>
          <x14:cfRule type="cellIs" priority="70" operator="equal" id="{50201A6F-79DC-4F8D-887D-9EDAA5CECE3B}">
            <xm:f>Data!$A$25</xm:f>
            <x14:dxf>
              <font>
                <color theme="0"/>
              </font>
              <fill>
                <patternFill>
                  <bgColor theme="9"/>
                </patternFill>
              </fill>
            </x14:dxf>
          </x14:cfRule>
          <xm:sqref>M18</xm:sqref>
        </x14:conditionalFormatting>
        <x14:conditionalFormatting xmlns:xm="http://schemas.microsoft.com/office/excel/2006/main">
          <x14:cfRule type="cellIs" priority="65" operator="equal" id="{FB147CAC-5562-4367-8BE4-92084184044F}">
            <xm:f>Data!$A$25</xm:f>
            <x14:dxf>
              <font>
                <color theme="0"/>
              </font>
              <fill>
                <patternFill>
                  <bgColor theme="9"/>
                </patternFill>
              </fill>
            </x14:dxf>
          </x14:cfRule>
          <x14:cfRule type="cellIs" priority="64" operator="equal" id="{BA93C6B6-95A9-41CD-BAC5-419074B53833}">
            <xm:f>Data!$A$27</xm:f>
            <x14:dxf>
              <font>
                <color rgb="FF9C5700"/>
              </font>
              <fill>
                <patternFill>
                  <bgColor rgb="FFFFEB9C"/>
                </patternFill>
              </fill>
            </x14:dxf>
          </x14:cfRule>
          <x14:cfRule type="cellIs" priority="63" operator="equal" id="{CD938EB9-6D5B-4576-9B12-702C3C33ED43}">
            <xm:f>Data!$A$28</xm:f>
            <x14:dxf>
              <font>
                <color rgb="FF9C0006"/>
              </font>
              <fill>
                <patternFill>
                  <bgColor rgb="FFFFC7CE"/>
                </patternFill>
              </fill>
            </x14:dxf>
          </x14:cfRule>
          <x14:cfRule type="cellIs" priority="62" operator="equal" id="{06581892-7D5C-499B-8EBB-33E2D8F7CC3A}">
            <xm:f>Data!$A$29</xm:f>
            <x14:dxf>
              <fill>
                <patternFill>
                  <bgColor theme="0" tint="-0.24994659260841701"/>
                </patternFill>
              </fill>
            </x14:dxf>
          </x14:cfRule>
          <x14:cfRule type="cellIs" priority="61" operator="equal" id="{47C4F3BB-6205-4188-969F-9ADD620F66EB}">
            <xm:f>Data!$A$26</xm:f>
            <x14:dxf>
              <font>
                <color rgb="FF006100"/>
              </font>
              <fill>
                <patternFill>
                  <bgColor rgb="FFC6EFCE"/>
                </patternFill>
              </fill>
            </x14:dxf>
          </x14:cfRule>
          <xm:sqref>M20</xm:sqref>
        </x14:conditionalFormatting>
        <x14:conditionalFormatting xmlns:xm="http://schemas.microsoft.com/office/excel/2006/main">
          <x14:cfRule type="cellIs" priority="57" operator="equal" id="{BFCF7985-5B50-4306-8875-6A718DB05D32}">
            <xm:f>Data!$A$29</xm:f>
            <x14:dxf>
              <fill>
                <patternFill>
                  <bgColor theme="0" tint="-0.24994659260841701"/>
                </patternFill>
              </fill>
            </x14:dxf>
          </x14:cfRule>
          <x14:cfRule type="cellIs" priority="59" operator="equal" id="{5A91C5BF-BA0C-463E-B606-39E1911632E1}">
            <xm:f>Data!$A$27</xm:f>
            <x14:dxf>
              <font>
                <color rgb="FF9C5700"/>
              </font>
              <fill>
                <patternFill>
                  <bgColor rgb="FFFFEB9C"/>
                </patternFill>
              </fill>
            </x14:dxf>
          </x14:cfRule>
          <x14:cfRule type="cellIs" priority="58" operator="equal" id="{CF8A7A46-97A9-4B30-BD46-9EEA3D0373E1}">
            <xm:f>Data!$A$28</xm:f>
            <x14:dxf>
              <font>
                <color rgb="FF9C0006"/>
              </font>
              <fill>
                <patternFill>
                  <bgColor rgb="FFFFC7CE"/>
                </patternFill>
              </fill>
            </x14:dxf>
          </x14:cfRule>
          <x14:cfRule type="cellIs" priority="60" operator="equal" id="{FAFC97C6-7DBD-4FA1-AF27-C55D817171BA}">
            <xm:f>Data!$A$25</xm:f>
            <x14:dxf>
              <font>
                <color theme="0"/>
              </font>
              <fill>
                <patternFill>
                  <bgColor theme="9"/>
                </patternFill>
              </fill>
            </x14:dxf>
          </x14:cfRule>
          <x14:cfRule type="cellIs" priority="56" operator="equal" id="{B2630DE4-1A41-43CA-8067-08BCECEFD61F}">
            <xm:f>Data!$A$26</xm:f>
            <x14:dxf>
              <font>
                <color rgb="FF006100"/>
              </font>
              <fill>
                <patternFill>
                  <bgColor rgb="FFC6EFCE"/>
                </patternFill>
              </fill>
            </x14:dxf>
          </x14:cfRule>
          <xm:sqref>M22</xm:sqref>
        </x14:conditionalFormatting>
        <x14:conditionalFormatting xmlns:xm="http://schemas.microsoft.com/office/excel/2006/main">
          <x14:cfRule type="cellIs" priority="55" operator="equal" id="{5F239B6E-992C-4DEE-8F1C-9A395377EA36}">
            <xm:f>Data!$A$25</xm:f>
            <x14:dxf>
              <font>
                <color theme="0"/>
              </font>
              <fill>
                <patternFill>
                  <bgColor theme="9"/>
                </patternFill>
              </fill>
            </x14:dxf>
          </x14:cfRule>
          <x14:cfRule type="cellIs" priority="54" operator="equal" id="{2E52C35B-5020-4A97-BBF9-D9298C3C669E}">
            <xm:f>Data!$A$27</xm:f>
            <x14:dxf>
              <font>
                <color rgb="FF9C5700"/>
              </font>
              <fill>
                <patternFill>
                  <bgColor rgb="FFFFEB9C"/>
                </patternFill>
              </fill>
            </x14:dxf>
          </x14:cfRule>
          <x14:cfRule type="cellIs" priority="53" operator="equal" id="{86B298E3-4508-4F9F-B6C2-2005E12DA300}">
            <xm:f>Data!$A$28</xm:f>
            <x14:dxf>
              <font>
                <color rgb="FF9C0006"/>
              </font>
              <fill>
                <patternFill>
                  <bgColor rgb="FFFFC7CE"/>
                </patternFill>
              </fill>
            </x14:dxf>
          </x14:cfRule>
          <x14:cfRule type="cellIs" priority="52" operator="equal" id="{7977EC2B-BF4D-4E13-BAF9-34D0E876203F}">
            <xm:f>Data!$A$29</xm:f>
            <x14:dxf>
              <fill>
                <patternFill>
                  <bgColor theme="0" tint="-0.24994659260841701"/>
                </patternFill>
              </fill>
            </x14:dxf>
          </x14:cfRule>
          <x14:cfRule type="cellIs" priority="51" operator="equal" id="{C7ED0A2D-66A0-4D0F-A28E-901AC35C0239}">
            <xm:f>Data!$A$26</xm:f>
            <x14:dxf>
              <font>
                <color rgb="FF006100"/>
              </font>
              <fill>
                <patternFill>
                  <bgColor rgb="FFC6EFCE"/>
                </patternFill>
              </fill>
            </x14:dxf>
          </x14:cfRule>
          <xm:sqref>M24</xm:sqref>
        </x14:conditionalFormatting>
        <x14:conditionalFormatting xmlns:xm="http://schemas.microsoft.com/office/excel/2006/main">
          <x14:cfRule type="cellIs" priority="50" operator="equal" id="{D33B487F-3C35-49FA-9DFE-C43069B50F67}">
            <xm:f>Data!$A$25</xm:f>
            <x14:dxf>
              <font>
                <color theme="0"/>
              </font>
              <fill>
                <patternFill>
                  <bgColor theme="9"/>
                </patternFill>
              </fill>
            </x14:dxf>
          </x14:cfRule>
          <x14:cfRule type="cellIs" priority="49" operator="equal" id="{C944EBDF-4E29-47A6-AEF7-BA6D054FDE03}">
            <xm:f>Data!$A$27</xm:f>
            <x14:dxf>
              <font>
                <color rgb="FF9C5700"/>
              </font>
              <fill>
                <patternFill>
                  <bgColor rgb="FFFFEB9C"/>
                </patternFill>
              </fill>
            </x14:dxf>
          </x14:cfRule>
          <x14:cfRule type="cellIs" priority="48" operator="equal" id="{19F02432-FAA4-41DB-9D39-F39D582308C4}">
            <xm:f>Data!$A$28</xm:f>
            <x14:dxf>
              <font>
                <color rgb="FF9C0006"/>
              </font>
              <fill>
                <patternFill>
                  <bgColor rgb="FFFFC7CE"/>
                </patternFill>
              </fill>
            </x14:dxf>
          </x14:cfRule>
          <x14:cfRule type="cellIs" priority="47" operator="equal" id="{D9A20EF8-E283-4C7C-9751-2D4E6E0217AC}">
            <xm:f>Data!$A$29</xm:f>
            <x14:dxf>
              <fill>
                <patternFill>
                  <bgColor theme="0" tint="-0.24994659260841701"/>
                </patternFill>
              </fill>
            </x14:dxf>
          </x14:cfRule>
          <x14:cfRule type="cellIs" priority="46" operator="equal" id="{1E868EDB-7ED3-460B-8216-E88B32DC5D17}">
            <xm:f>Data!$A$26</xm:f>
            <x14:dxf>
              <font>
                <color rgb="FF006100"/>
              </font>
              <fill>
                <patternFill>
                  <bgColor rgb="FFC6EFCE"/>
                </patternFill>
              </fill>
            </x14:dxf>
          </x14:cfRule>
          <xm:sqref>M26</xm:sqref>
        </x14:conditionalFormatting>
        <x14:conditionalFormatting xmlns:xm="http://schemas.microsoft.com/office/excel/2006/main">
          <x14:cfRule type="cellIs" priority="44" operator="equal" id="{D43EF494-4D2F-4434-BE5F-68C7B99B1B32}">
            <xm:f>Data!$A$27</xm:f>
            <x14:dxf>
              <font>
                <color rgb="FF9C5700"/>
              </font>
              <fill>
                <patternFill>
                  <bgColor rgb="FFFFEB9C"/>
                </patternFill>
              </fill>
            </x14:dxf>
          </x14:cfRule>
          <x14:cfRule type="cellIs" priority="43" operator="equal" id="{2F92CC5D-2B52-4A9C-8466-8EFB4D8DD4CD}">
            <xm:f>Data!$A$28</xm:f>
            <x14:dxf>
              <font>
                <color rgb="FF9C0006"/>
              </font>
              <fill>
                <patternFill>
                  <bgColor rgb="FFFFC7CE"/>
                </patternFill>
              </fill>
            </x14:dxf>
          </x14:cfRule>
          <x14:cfRule type="cellIs" priority="45" operator="equal" id="{DC64AA11-2843-4FEE-808D-B4BC9D99784A}">
            <xm:f>Data!$A$25</xm:f>
            <x14:dxf>
              <font>
                <color theme="0"/>
              </font>
              <fill>
                <patternFill>
                  <bgColor theme="9"/>
                </patternFill>
              </fill>
            </x14:dxf>
          </x14:cfRule>
          <x14:cfRule type="cellIs" priority="42" operator="equal" id="{D444B0C5-5170-4501-871E-F12F9A018624}">
            <xm:f>Data!$A$29</xm:f>
            <x14:dxf>
              <fill>
                <patternFill>
                  <bgColor theme="0" tint="-0.24994659260841701"/>
                </patternFill>
              </fill>
            </x14:dxf>
          </x14:cfRule>
          <x14:cfRule type="cellIs" priority="41" operator="equal" id="{0E118662-EC92-41EF-B012-349368C72353}">
            <xm:f>Data!$A$26</xm:f>
            <x14:dxf>
              <font>
                <color rgb="FF006100"/>
              </font>
              <fill>
                <patternFill>
                  <bgColor rgb="FFC6EFCE"/>
                </patternFill>
              </fill>
            </x14:dxf>
          </x14:cfRule>
          <xm:sqref>M28</xm:sqref>
        </x14:conditionalFormatting>
        <x14:conditionalFormatting xmlns:xm="http://schemas.microsoft.com/office/excel/2006/main">
          <x14:cfRule type="cellIs" priority="40" operator="equal" id="{EF1CF3FE-D58C-4065-800C-59A1835FDC50}">
            <xm:f>Data!$A$25</xm:f>
            <x14:dxf>
              <font>
                <color theme="0"/>
              </font>
              <fill>
                <patternFill>
                  <bgColor theme="9"/>
                </patternFill>
              </fill>
            </x14:dxf>
          </x14:cfRule>
          <x14:cfRule type="cellIs" priority="39" operator="equal" id="{895FB783-1B04-4034-986C-F868D3630FF9}">
            <xm:f>Data!$A$27</xm:f>
            <x14:dxf>
              <font>
                <color rgb="FF9C5700"/>
              </font>
              <fill>
                <patternFill>
                  <bgColor rgb="FFFFEB9C"/>
                </patternFill>
              </fill>
            </x14:dxf>
          </x14:cfRule>
          <x14:cfRule type="cellIs" priority="38" operator="equal" id="{7AB9BB91-6443-4A96-B165-6A16763BCD32}">
            <xm:f>Data!$A$28</xm:f>
            <x14:dxf>
              <font>
                <color rgb="FF9C0006"/>
              </font>
              <fill>
                <patternFill>
                  <bgColor rgb="FFFFC7CE"/>
                </patternFill>
              </fill>
            </x14:dxf>
          </x14:cfRule>
          <x14:cfRule type="cellIs" priority="37" operator="equal" id="{B9530470-4B5F-40D5-B991-3DD422249622}">
            <xm:f>Data!$A$29</xm:f>
            <x14:dxf>
              <fill>
                <patternFill>
                  <bgColor theme="0" tint="-0.24994659260841701"/>
                </patternFill>
              </fill>
            </x14:dxf>
          </x14:cfRule>
          <x14:cfRule type="cellIs" priority="36" operator="equal" id="{ECC7D3BC-DF0B-4BE6-9080-AF4C8413001C}">
            <xm:f>Data!$A$26</xm:f>
            <x14:dxf>
              <font>
                <color rgb="FF006100"/>
              </font>
              <fill>
                <patternFill>
                  <bgColor rgb="FFC6EFCE"/>
                </patternFill>
              </fill>
            </x14:dxf>
          </x14:cfRule>
          <xm:sqref>M30</xm:sqref>
        </x14:conditionalFormatting>
        <x14:conditionalFormatting xmlns:xm="http://schemas.microsoft.com/office/excel/2006/main">
          <x14:cfRule type="cellIs" priority="35" operator="equal" id="{8306FB90-92B3-442C-8631-5861A772FABC}">
            <xm:f>Data!$A$25</xm:f>
            <x14:dxf>
              <font>
                <color theme="0"/>
              </font>
              <fill>
                <patternFill>
                  <bgColor theme="9"/>
                </patternFill>
              </fill>
            </x14:dxf>
          </x14:cfRule>
          <x14:cfRule type="cellIs" priority="34" operator="equal" id="{8FFC2B91-5F6E-45B7-B0B7-87D7E3DCD744}">
            <xm:f>Data!$A$27</xm:f>
            <x14:dxf>
              <font>
                <color rgb="FF9C5700"/>
              </font>
              <fill>
                <patternFill>
                  <bgColor rgb="FFFFEB9C"/>
                </patternFill>
              </fill>
            </x14:dxf>
          </x14:cfRule>
          <x14:cfRule type="cellIs" priority="33" operator="equal" id="{D92EE328-FA80-4904-96AD-0D4C10D65319}">
            <xm:f>Data!$A$28</xm:f>
            <x14:dxf>
              <font>
                <color rgb="FF9C0006"/>
              </font>
              <fill>
                <patternFill>
                  <bgColor rgb="FFFFC7CE"/>
                </patternFill>
              </fill>
            </x14:dxf>
          </x14:cfRule>
          <x14:cfRule type="cellIs" priority="32" operator="equal" id="{F54FAC3B-2F44-4C10-8197-07268996FB25}">
            <xm:f>Data!$A$29</xm:f>
            <x14:dxf>
              <fill>
                <patternFill>
                  <bgColor theme="0" tint="-0.24994659260841701"/>
                </patternFill>
              </fill>
            </x14:dxf>
          </x14:cfRule>
          <x14:cfRule type="cellIs" priority="31" operator="equal" id="{39A5C38B-6B24-4213-B843-63EBB302D459}">
            <xm:f>Data!$A$26</xm:f>
            <x14:dxf>
              <font>
                <color rgb="FF006100"/>
              </font>
              <fill>
                <patternFill>
                  <bgColor rgb="FFC6EFCE"/>
                </patternFill>
              </fill>
            </x14:dxf>
          </x14:cfRule>
          <xm:sqref>M32</xm:sqref>
        </x14:conditionalFormatting>
        <x14:conditionalFormatting xmlns:xm="http://schemas.microsoft.com/office/excel/2006/main">
          <x14:cfRule type="cellIs" priority="30" operator="equal" id="{761E73E4-2F6E-42C9-A760-2F638A8A2F1C}">
            <xm:f>Data!$A$25</xm:f>
            <x14:dxf>
              <font>
                <color theme="0"/>
              </font>
              <fill>
                <patternFill>
                  <bgColor theme="9"/>
                </patternFill>
              </fill>
            </x14:dxf>
          </x14:cfRule>
          <x14:cfRule type="cellIs" priority="29" operator="equal" id="{E3D38356-DC02-4890-9CB6-1C28BB67735B}">
            <xm:f>Data!$A$27</xm:f>
            <x14:dxf>
              <font>
                <color rgb="FF9C5700"/>
              </font>
              <fill>
                <patternFill>
                  <bgColor rgb="FFFFEB9C"/>
                </patternFill>
              </fill>
            </x14:dxf>
          </x14:cfRule>
          <x14:cfRule type="cellIs" priority="28" operator="equal" id="{534BFE3C-8E9D-43BE-85AB-AE5A2F5B830E}">
            <xm:f>Data!$A$28</xm:f>
            <x14:dxf>
              <font>
                <color rgb="FF9C0006"/>
              </font>
              <fill>
                <patternFill>
                  <bgColor rgb="FFFFC7CE"/>
                </patternFill>
              </fill>
            </x14:dxf>
          </x14:cfRule>
          <x14:cfRule type="cellIs" priority="27" operator="equal" id="{162B5EC8-A4ED-4C28-B15D-26B7A36DC785}">
            <xm:f>Data!$A$29</xm:f>
            <x14:dxf>
              <fill>
                <patternFill>
                  <bgColor theme="0" tint="-0.24994659260841701"/>
                </patternFill>
              </fill>
            </x14:dxf>
          </x14:cfRule>
          <x14:cfRule type="cellIs" priority="26" operator="equal" id="{E35D0148-66F4-4BAB-BAD2-C5712BB9F3F1}">
            <xm:f>Data!$A$26</xm:f>
            <x14:dxf>
              <font>
                <color rgb="FF006100"/>
              </font>
              <fill>
                <patternFill>
                  <bgColor rgb="FFC6EFCE"/>
                </patternFill>
              </fill>
            </x14:dxf>
          </x14:cfRule>
          <xm:sqref>M34</xm:sqref>
        </x14:conditionalFormatting>
        <x14:conditionalFormatting xmlns:xm="http://schemas.microsoft.com/office/excel/2006/main">
          <x14:cfRule type="cellIs" priority="22" operator="equal" id="{E1FEBF5E-089A-47EA-AD65-2BB3F358E467}">
            <xm:f>Data!$A$29</xm:f>
            <x14:dxf>
              <fill>
                <patternFill>
                  <bgColor theme="0" tint="-0.24994659260841701"/>
                </patternFill>
              </fill>
            </x14:dxf>
          </x14:cfRule>
          <x14:cfRule type="cellIs" priority="24" operator="equal" id="{B8CDBF00-0C65-4B45-99F9-F2A521DAA62A}">
            <xm:f>Data!$A$27</xm:f>
            <x14:dxf>
              <font>
                <color rgb="FF9C5700"/>
              </font>
              <fill>
                <patternFill>
                  <bgColor rgb="FFFFEB9C"/>
                </patternFill>
              </fill>
            </x14:dxf>
          </x14:cfRule>
          <x14:cfRule type="cellIs" priority="23" operator="equal" id="{42A87303-9060-4F09-BA58-35F27D88DFB7}">
            <xm:f>Data!$A$28</xm:f>
            <x14:dxf>
              <font>
                <color rgb="FF9C0006"/>
              </font>
              <fill>
                <patternFill>
                  <bgColor rgb="FFFFC7CE"/>
                </patternFill>
              </fill>
            </x14:dxf>
          </x14:cfRule>
          <x14:cfRule type="cellIs" priority="25" operator="equal" id="{A288387C-17E0-46A9-969A-18B621691B05}">
            <xm:f>Data!$A$25</xm:f>
            <x14:dxf>
              <font>
                <color theme="0"/>
              </font>
              <fill>
                <patternFill>
                  <bgColor theme="9"/>
                </patternFill>
              </fill>
            </x14:dxf>
          </x14:cfRule>
          <x14:cfRule type="cellIs" priority="21" operator="equal" id="{FE3B19F1-BACA-4537-8747-AE6C4F068F6B}">
            <xm:f>Data!$A$26</xm:f>
            <x14:dxf>
              <font>
                <color rgb="FF006100"/>
              </font>
              <fill>
                <patternFill>
                  <bgColor rgb="FFC6EFCE"/>
                </patternFill>
              </fill>
            </x14:dxf>
          </x14:cfRule>
          <xm:sqref>M36</xm:sqref>
        </x14:conditionalFormatting>
        <x14:conditionalFormatting xmlns:xm="http://schemas.microsoft.com/office/excel/2006/main">
          <x14:cfRule type="cellIs" priority="20" operator="equal" id="{FF59C5EB-6410-479D-B740-9DBE61F1B852}">
            <xm:f>Data!$A$25</xm:f>
            <x14:dxf>
              <font>
                <color theme="0"/>
              </font>
              <fill>
                <patternFill>
                  <bgColor theme="9"/>
                </patternFill>
              </fill>
            </x14:dxf>
          </x14:cfRule>
          <x14:cfRule type="cellIs" priority="19" operator="equal" id="{3A142E0A-A721-4DFC-A274-1B732B017CFD}">
            <xm:f>Data!$A$27</xm:f>
            <x14:dxf>
              <font>
                <color rgb="FF9C5700"/>
              </font>
              <fill>
                <patternFill>
                  <bgColor rgb="FFFFEB9C"/>
                </patternFill>
              </fill>
            </x14:dxf>
          </x14:cfRule>
          <x14:cfRule type="cellIs" priority="18" operator="equal" id="{F09DAD33-0A31-4A38-A48B-D090148B585C}">
            <xm:f>Data!$A$28</xm:f>
            <x14:dxf>
              <font>
                <color rgb="FF9C0006"/>
              </font>
              <fill>
                <patternFill>
                  <bgColor rgb="FFFFC7CE"/>
                </patternFill>
              </fill>
            </x14:dxf>
          </x14:cfRule>
          <x14:cfRule type="cellIs" priority="17" operator="equal" id="{26FF0CBC-B22E-41D6-A28D-BA6A37FA8BFC}">
            <xm:f>Data!$A$29</xm:f>
            <x14:dxf>
              <fill>
                <patternFill>
                  <bgColor theme="0" tint="-0.24994659260841701"/>
                </patternFill>
              </fill>
            </x14:dxf>
          </x14:cfRule>
          <x14:cfRule type="cellIs" priority="16" operator="equal" id="{A283F001-E842-489E-83D6-48DDE6457F80}">
            <xm:f>Data!$A$26</xm:f>
            <x14:dxf>
              <font>
                <color rgb="FF006100"/>
              </font>
              <fill>
                <patternFill>
                  <bgColor rgb="FFC6EFCE"/>
                </patternFill>
              </fill>
            </x14:dxf>
          </x14:cfRule>
          <xm:sqref>M38</xm:sqref>
        </x14:conditionalFormatting>
        <x14:conditionalFormatting xmlns:xm="http://schemas.microsoft.com/office/excel/2006/main">
          <x14:cfRule type="cellIs" priority="12" operator="equal" id="{7CB782C0-712B-4491-A677-2CDB50F8B8B8}">
            <xm:f>Data!$A$29</xm:f>
            <x14:dxf>
              <fill>
                <patternFill>
                  <bgColor theme="0" tint="-0.24994659260841701"/>
                </patternFill>
              </fill>
            </x14:dxf>
          </x14:cfRule>
          <x14:cfRule type="cellIs" priority="14" operator="equal" id="{7CEF9FE2-29CC-4C69-B37E-07DFF55C948C}">
            <xm:f>Data!$A$27</xm:f>
            <x14:dxf>
              <font>
                <color rgb="FF9C5700"/>
              </font>
              <fill>
                <patternFill>
                  <bgColor rgb="FFFFEB9C"/>
                </patternFill>
              </fill>
            </x14:dxf>
          </x14:cfRule>
          <x14:cfRule type="cellIs" priority="13" operator="equal" id="{970BCE24-82D1-47A0-988B-796692AF2AC2}">
            <xm:f>Data!$A$28</xm:f>
            <x14:dxf>
              <font>
                <color rgb="FF9C0006"/>
              </font>
              <fill>
                <patternFill>
                  <bgColor rgb="FFFFC7CE"/>
                </patternFill>
              </fill>
            </x14:dxf>
          </x14:cfRule>
          <x14:cfRule type="cellIs" priority="15" operator="equal" id="{F96CEDA6-8740-40D3-B921-9C5197389880}">
            <xm:f>Data!$A$25</xm:f>
            <x14:dxf>
              <font>
                <color theme="0"/>
              </font>
              <fill>
                <patternFill>
                  <bgColor theme="9"/>
                </patternFill>
              </fill>
            </x14:dxf>
          </x14:cfRule>
          <x14:cfRule type="cellIs" priority="11" operator="equal" id="{0BB5B403-C8C0-426E-9469-7B6B04F0575A}">
            <xm:f>Data!$A$26</xm:f>
            <x14:dxf>
              <font>
                <color rgb="FF006100"/>
              </font>
              <fill>
                <patternFill>
                  <bgColor rgb="FFC6EFCE"/>
                </patternFill>
              </fill>
            </x14:dxf>
          </x14:cfRule>
          <xm:sqref>M40</xm:sqref>
        </x14:conditionalFormatting>
        <x14:conditionalFormatting xmlns:xm="http://schemas.microsoft.com/office/excel/2006/main">
          <x14:cfRule type="cellIs" priority="10" operator="equal" id="{84787367-E057-413A-8EFB-96CEC4C2009D}">
            <xm:f>Data!$A$25</xm:f>
            <x14:dxf>
              <font>
                <color theme="0"/>
              </font>
              <fill>
                <patternFill>
                  <bgColor theme="9"/>
                </patternFill>
              </fill>
            </x14:dxf>
          </x14:cfRule>
          <x14:cfRule type="cellIs" priority="9" operator="equal" id="{109BD456-D38A-443D-B15D-2CE954D5B6E9}">
            <xm:f>Data!$A$27</xm:f>
            <x14:dxf>
              <font>
                <color rgb="FF9C5700"/>
              </font>
              <fill>
                <patternFill>
                  <bgColor rgb="FFFFEB9C"/>
                </patternFill>
              </fill>
            </x14:dxf>
          </x14:cfRule>
          <x14:cfRule type="cellIs" priority="8" operator="equal" id="{DAA00E50-1910-4899-8A31-5C86ACE6BC41}">
            <xm:f>Data!$A$28</xm:f>
            <x14:dxf>
              <font>
                <color rgb="FF9C0006"/>
              </font>
              <fill>
                <patternFill>
                  <bgColor rgb="FFFFC7CE"/>
                </patternFill>
              </fill>
            </x14:dxf>
          </x14:cfRule>
          <x14:cfRule type="cellIs" priority="7" operator="equal" id="{DC656DB8-05AC-4D75-BAF4-82AEAA088538}">
            <xm:f>Data!$A$29</xm:f>
            <x14:dxf>
              <fill>
                <patternFill>
                  <bgColor theme="0" tint="-0.24994659260841701"/>
                </patternFill>
              </fill>
            </x14:dxf>
          </x14:cfRule>
          <x14:cfRule type="cellIs" priority="6" operator="equal" id="{74F16B75-A173-498D-82E8-1B31BAB326D5}">
            <xm:f>Data!$A$26</xm:f>
            <x14:dxf>
              <font>
                <color rgb="FF006100"/>
              </font>
              <fill>
                <patternFill>
                  <bgColor rgb="FFC6EFCE"/>
                </patternFill>
              </fill>
            </x14:dxf>
          </x14:cfRule>
          <xm:sqref>M42</xm:sqref>
        </x14:conditionalFormatting>
        <x14:conditionalFormatting xmlns:xm="http://schemas.microsoft.com/office/excel/2006/main">
          <x14:cfRule type="cellIs" priority="5" operator="equal" id="{A0F7621D-449B-4BDB-90BA-2BE20195C62C}">
            <xm:f>Data!$A$25</xm:f>
            <x14:dxf>
              <font>
                <color theme="0"/>
              </font>
              <fill>
                <patternFill>
                  <bgColor theme="9"/>
                </patternFill>
              </fill>
            </x14:dxf>
          </x14:cfRule>
          <x14:cfRule type="cellIs" priority="4" operator="equal" id="{278A5A39-5D61-4F63-9819-E630EA0BE503}">
            <xm:f>Data!$A$27</xm:f>
            <x14:dxf>
              <font>
                <color rgb="FF9C5700"/>
              </font>
              <fill>
                <patternFill>
                  <bgColor rgb="FFFFEB9C"/>
                </patternFill>
              </fill>
            </x14:dxf>
          </x14:cfRule>
          <x14:cfRule type="cellIs" priority="3" operator="equal" id="{68E448AC-E2F3-45B2-9E0F-AEACF4C0BE5E}">
            <xm:f>Data!$A$28</xm:f>
            <x14:dxf>
              <font>
                <color rgb="FF9C0006"/>
              </font>
              <fill>
                <patternFill>
                  <bgColor rgb="FFFFC7CE"/>
                </patternFill>
              </fill>
            </x14:dxf>
          </x14:cfRule>
          <x14:cfRule type="cellIs" priority="2" operator="equal" id="{EBB453A3-3A6F-4FD5-BA58-2CAB429F3377}">
            <xm:f>Data!$A$29</xm:f>
            <x14:dxf>
              <fill>
                <patternFill>
                  <bgColor theme="0" tint="-0.24994659260841701"/>
                </patternFill>
              </fill>
            </x14:dxf>
          </x14:cfRule>
          <x14:cfRule type="cellIs" priority="1" operator="equal" id="{B3E86CB1-FE2A-4A3D-9C95-DA3F80C4483F}">
            <xm:f>Data!$A$26</xm:f>
            <x14:dxf>
              <font>
                <color rgb="FF006100"/>
              </font>
              <fill>
                <patternFill>
                  <bgColor rgb="FFC6EFCE"/>
                </patternFill>
              </fill>
            </x14:dxf>
          </x14:cfRule>
          <xm:sqref>M44</xm:sqref>
        </x14:conditionalFormatting>
      </x14:conditionalFormattings>
    </ext>
    <ext xmlns:x14="http://schemas.microsoft.com/office/spreadsheetml/2009/9/main" uri="{CCE6A557-97BC-4b89-ADB6-D9C93CAAB3DF}">
      <x14:dataValidations xmlns:xm="http://schemas.microsoft.com/office/excel/2006/main" count="2">
        <x14:dataValidation type="list" allowBlank="1" showInputMessage="1" showErrorMessage="1" xr:uid="{509691E5-09F1-4C50-BF49-30E7BADCC19E}">
          <x14:formula1>
            <xm:f>IF(TAAL="Engels", Data!$B$25:$B$29, Data!$A$25:$A$29)</xm:f>
          </x14:formula1>
          <xm:sqref>C45 C43 C39 C37 C33 C31 C27 C25 C21 C19 E45 E43 E39 E37 E33 E31 E27 E25 E21 E19 G43 G39 G37 G33 G31 G27 G25 G21 G19 L19 L45 L43 L39 L37 L33 L31 L27 L25 L21 G45</xm:sqref>
        </x14:dataValidation>
        <x14:dataValidation type="list" allowBlank="1" showInputMessage="1" xr:uid="{A574C163-E81B-478D-A6D7-0D15E27592AC}">
          <x14:formula1>
            <xm:f>Data!$C$32:$C$41</xm:f>
          </x14:formula1>
          <xm:sqref>M45:M1048576 M1:M5 M19 M21 M43 M25 M27 M31 M33 M37 M39 I21 I19 I37 I33 I45:I1048576 I43 I31 I27 I39 I25</xm:sqref>
        </x14:dataValidation>
      </x14:dataValidations>
    </ext>
  </extLst>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F325E370-D416-4967-BB92-887F64F18BAB}">
  <sheetPr>
    <tabColor theme="9" tint="0.39997558519241921"/>
    <pageSetUpPr fitToPage="1"/>
  </sheetPr>
  <dimension ref="A1:O45"/>
  <sheetViews>
    <sheetView zoomScale="80" zoomScaleNormal="80" workbookViewId="0">
      <pane xSplit="1" ySplit="10" topLeftCell="B11" activePane="bottomRight" state="frozen"/>
      <selection pane="topRight" activeCell="B1" sqref="B1"/>
      <selection pane="bottomLeft" activeCell="A11" sqref="A11"/>
      <selection pane="bottomRight"/>
    </sheetView>
  </sheetViews>
  <sheetFormatPr baseColWidth="10" defaultColWidth="8.6640625" defaultRowHeight="31" outlineLevelRow="1" x14ac:dyDescent="0.2"/>
  <cols>
    <col min="1" max="1" width="88.5" style="2" customWidth="1"/>
    <col min="2" max="2" width="56.83203125" customWidth="1"/>
    <col min="3" max="3" width="15.5" bestFit="1" customWidth="1"/>
    <col min="4" max="4" width="56.83203125" customWidth="1"/>
    <col min="5" max="5" width="15.5" bestFit="1" customWidth="1"/>
    <col min="6" max="6" width="56.83203125" customWidth="1"/>
    <col min="7" max="7" width="15.5" bestFit="1" customWidth="1"/>
    <col min="8" max="8" width="56.83203125" customWidth="1"/>
    <col min="9" max="9" width="6.1640625" customWidth="1"/>
    <col min="10" max="10" width="56.83203125" customWidth="1"/>
    <col min="11" max="11" width="21.5" style="45" customWidth="1"/>
    <col min="12" max="12" width="10.83203125" style="45" customWidth="1"/>
    <col min="13" max="13" width="56.83203125" customWidth="1"/>
    <col min="14" max="14" width="15.5" bestFit="1" customWidth="1"/>
    <col min="15" max="15" width="21.5" style="45" customWidth="1"/>
  </cols>
  <sheetData>
    <row r="1" spans="1:15" x14ac:dyDescent="0.2">
      <c r="A1" s="61" t="s">
        <v>102</v>
      </c>
      <c r="B1" s="105" t="s">
        <v>52</v>
      </c>
      <c r="C1" s="105"/>
      <c r="D1" s="105"/>
      <c r="E1" s="105"/>
      <c r="F1" s="105"/>
      <c r="G1" s="105"/>
      <c r="H1" s="62"/>
      <c r="I1" s="106"/>
      <c r="J1" s="62"/>
      <c r="K1" s="67"/>
      <c r="M1" s="53"/>
      <c r="N1" s="106"/>
      <c r="O1" s="54"/>
    </row>
    <row r="2" spans="1:15" outlineLevel="1" x14ac:dyDescent="0.2">
      <c r="A2" s="11">
        <f>Data!B3</f>
        <v>0</v>
      </c>
      <c r="B2" s="41" t="str">
        <f>Data!B5</f>
        <v>najaar 2024</v>
      </c>
      <c r="C2" s="36"/>
      <c r="D2" s="41"/>
      <c r="E2" s="36"/>
      <c r="F2" s="41"/>
      <c r="G2" s="36"/>
      <c r="H2" s="41"/>
      <c r="I2" s="107"/>
      <c r="J2" s="41"/>
      <c r="K2" s="68"/>
      <c r="M2" s="11"/>
      <c r="N2" s="107"/>
      <c r="O2" s="40"/>
    </row>
    <row r="3" spans="1:15" outlineLevel="1" x14ac:dyDescent="0.25">
      <c r="A3" s="78" t="s">
        <v>53</v>
      </c>
      <c r="B3" s="42" t="str">
        <f>Data!B6</f>
        <v>Student 1</v>
      </c>
      <c r="C3" s="42" t="str">
        <f>Data!B7</f>
        <v>nummer 1</v>
      </c>
      <c r="D3" s="42"/>
      <c r="E3" s="107"/>
      <c r="F3" s="42"/>
      <c r="G3" s="107"/>
      <c r="H3" s="42"/>
      <c r="I3" s="107"/>
      <c r="J3" s="42"/>
      <c r="K3" s="68"/>
      <c r="M3" s="55"/>
      <c r="N3" s="107"/>
      <c r="O3" s="40"/>
    </row>
    <row r="4" spans="1:15" outlineLevel="1" x14ac:dyDescent="0.25">
      <c r="A4" s="78" t="s">
        <v>75</v>
      </c>
      <c r="B4" s="42" t="str">
        <f>Data!B8</f>
        <v>Student 2</v>
      </c>
      <c r="C4" s="42" t="str">
        <f>Data!B9</f>
        <v>nummer 2</v>
      </c>
      <c r="D4" s="42"/>
      <c r="E4" s="107"/>
      <c r="F4" s="42"/>
      <c r="G4" s="107"/>
      <c r="H4" s="42"/>
      <c r="I4" s="107"/>
      <c r="J4" s="42"/>
      <c r="K4" s="68"/>
      <c r="M4" s="55"/>
      <c r="N4" s="107"/>
      <c r="O4" s="40"/>
    </row>
    <row r="5" spans="1:15" ht="14.5" customHeight="1" outlineLevel="1" x14ac:dyDescent="0.25">
      <c r="A5" s="78" t="s">
        <v>54</v>
      </c>
      <c r="B5" s="95" t="str">
        <f>Data!B12</f>
        <v>opdr titel</v>
      </c>
      <c r="C5" s="95"/>
      <c r="D5" s="42"/>
      <c r="E5" s="107"/>
      <c r="F5" s="42"/>
      <c r="G5" s="107"/>
      <c r="H5" s="42"/>
      <c r="I5" s="107"/>
      <c r="J5" s="42"/>
      <c r="K5" s="68"/>
      <c r="M5" s="55"/>
      <c r="N5" s="107"/>
      <c r="O5" s="40"/>
    </row>
    <row r="6" spans="1:15" ht="15" customHeight="1" outlineLevel="1" x14ac:dyDescent="0.25">
      <c r="A6" s="78" t="s">
        <v>55</v>
      </c>
      <c r="B6" s="95" t="str">
        <f>Data!B11</f>
        <v>begeleider bedrijf</v>
      </c>
      <c r="C6" s="95"/>
      <c r="D6" s="42"/>
      <c r="E6" s="107"/>
      <c r="F6" s="42"/>
      <c r="G6" s="107"/>
      <c r="H6" s="42"/>
      <c r="I6" s="107"/>
      <c r="J6" s="42"/>
      <c r="K6" s="55"/>
      <c r="L6" s="49"/>
      <c r="M6" s="55"/>
      <c r="N6" s="107"/>
      <c r="O6" s="36"/>
    </row>
    <row r="7" spans="1:15" ht="14" customHeight="1" outlineLevel="1" x14ac:dyDescent="0.25">
      <c r="A7" s="78" t="s">
        <v>56</v>
      </c>
      <c r="B7" s="95" t="str">
        <f>Data!B13</f>
        <v>docent 1</v>
      </c>
      <c r="C7" s="95"/>
      <c r="D7" s="42"/>
      <c r="E7" s="107"/>
      <c r="F7" s="42"/>
      <c r="G7" s="107"/>
      <c r="H7" s="42"/>
      <c r="I7" s="107"/>
      <c r="J7" s="42"/>
      <c r="K7" s="55"/>
      <c r="L7" s="49"/>
      <c r="M7" s="55"/>
      <c r="N7" s="107"/>
      <c r="O7" s="36"/>
    </row>
    <row r="8" spans="1:15" ht="15.5" customHeight="1" outlineLevel="1" x14ac:dyDescent="0.25">
      <c r="A8" s="78" t="s">
        <v>57</v>
      </c>
      <c r="B8" s="95" t="str">
        <f>Data!B14</f>
        <v>docent 2</v>
      </c>
      <c r="C8" s="95"/>
      <c r="D8" s="42"/>
      <c r="E8" s="107"/>
      <c r="F8" s="42"/>
      <c r="G8" s="107"/>
      <c r="H8" s="42"/>
      <c r="I8" s="107"/>
      <c r="J8" s="42"/>
      <c r="K8" s="55"/>
      <c r="L8" s="49"/>
      <c r="M8" s="55"/>
      <c r="N8" s="107"/>
      <c r="O8" s="36"/>
    </row>
    <row r="9" spans="1:15" ht="15.75" customHeight="1" outlineLevel="1" x14ac:dyDescent="0.2">
      <c r="A9" s="78" t="s">
        <v>58</v>
      </c>
      <c r="B9" s="95" t="str">
        <f>Data!B15</f>
        <v>externe</v>
      </c>
      <c r="C9" s="95"/>
      <c r="D9" s="36"/>
      <c r="E9" s="107"/>
      <c r="F9" s="36"/>
      <c r="G9" s="107"/>
      <c r="H9" s="36"/>
      <c r="I9" s="107"/>
      <c r="J9" s="36"/>
      <c r="K9" s="56"/>
      <c r="L9" s="9"/>
      <c r="M9" s="56"/>
      <c r="N9" s="107"/>
      <c r="O9" s="36"/>
    </row>
    <row r="10" spans="1:15" s="43" customFormat="1" ht="38.5" customHeight="1" x14ac:dyDescent="0.2">
      <c r="A10" s="63"/>
      <c r="B10" s="46" t="s">
        <v>59</v>
      </c>
      <c r="C10" s="96"/>
      <c r="D10" s="46" t="s">
        <v>60</v>
      </c>
      <c r="E10" s="107"/>
      <c r="F10" s="46" t="s">
        <v>61</v>
      </c>
      <c r="G10" s="107"/>
      <c r="H10" s="46" t="str">
        <f>IF(TAAL="Engels", Data!$E$38,Data!$E$37)</f>
        <v>Afstudeertraject</v>
      </c>
      <c r="I10" s="107"/>
      <c r="J10" s="46" t="str">
        <f>IF(TAAL="Engels", Data!$E$36,Data!$E$35)</f>
        <v>Adviesbeoordeling Bedrijfsbegeleider</v>
      </c>
      <c r="K10" s="56"/>
      <c r="L10" s="50"/>
      <c r="M10" s="57" t="s">
        <v>91</v>
      </c>
      <c r="N10" s="107"/>
      <c r="O10" s="46" t="s">
        <v>62</v>
      </c>
    </row>
    <row r="11" spans="1:15" ht="22.25" customHeight="1" x14ac:dyDescent="0.2">
      <c r="A11" s="64" t="s">
        <v>63</v>
      </c>
      <c r="B11" s="47"/>
      <c r="C11" s="96"/>
      <c r="D11" s="47"/>
      <c r="E11" s="107"/>
      <c r="F11" s="47"/>
      <c r="G11" s="107"/>
      <c r="H11" s="47"/>
      <c r="I11" s="107"/>
      <c r="J11" s="47"/>
      <c r="K11" s="56"/>
      <c r="L11" s="51"/>
      <c r="M11" s="58"/>
      <c r="N11" s="107"/>
      <c r="O11" s="48"/>
    </row>
    <row r="12" spans="1:15" s="44" customFormat="1" ht="18" customHeight="1" x14ac:dyDescent="0.25">
      <c r="A12" s="98" t="s">
        <v>90</v>
      </c>
      <c r="B12" s="3" t="str">
        <f>IF(TAAL="Engels", Data!$E$32,Data!$E$31)</f>
        <v>Opgeleverde producten</v>
      </c>
      <c r="C12" s="96"/>
      <c r="D12" s="3" t="str">
        <f>IF(TAAL="Engels", Data!$E$32,Data!$E$31)</f>
        <v>Opgeleverde producten</v>
      </c>
      <c r="E12" s="107"/>
      <c r="F12" s="3" t="str">
        <f>IF(TAAL="Engels", Data!$E$32,Data!$E$31)</f>
        <v>Opgeleverde producten</v>
      </c>
      <c r="G12" s="107"/>
      <c r="H12" s="3" t="str">
        <f>IF(TAAL="Engels", Data!$E$32,Data!$E$31)</f>
        <v>Opgeleverde producten</v>
      </c>
      <c r="I12" s="107"/>
      <c r="J12" s="3" t="str">
        <f>IF(TAAL="Engels", Data!$E$32,Data!$E$31)</f>
        <v>Opgeleverde producten</v>
      </c>
      <c r="K12" s="56"/>
      <c r="L12" s="52"/>
      <c r="M12" s="3" t="str">
        <f>IF(TAAL="Engels", Data!$E$32,Data!$E$31)</f>
        <v>Opgeleverde producten</v>
      </c>
      <c r="N12" s="107"/>
      <c r="O12" s="100" t="s">
        <v>159</v>
      </c>
    </row>
    <row r="13" spans="1:15" ht="58.25" customHeight="1" x14ac:dyDescent="0.2">
      <c r="A13" s="98"/>
      <c r="B13" s="15"/>
      <c r="C13" s="96"/>
      <c r="D13" s="15"/>
      <c r="E13" s="107"/>
      <c r="F13" s="15"/>
      <c r="G13" s="107"/>
      <c r="H13" s="15"/>
      <c r="I13" s="107"/>
      <c r="J13" s="15"/>
      <c r="K13" s="56"/>
      <c r="L13" s="52"/>
      <c r="M13" s="15"/>
      <c r="N13" s="107"/>
      <c r="O13" s="100"/>
    </row>
    <row r="14" spans="1:15" s="44" customFormat="1" ht="17" customHeight="1" x14ac:dyDescent="0.25">
      <c r="A14" s="98"/>
      <c r="B14" s="3" t="str">
        <f>IF(TAAL="Engels", Data!$E$34,Data!$E$33)</f>
        <v>Bijzondere omstandigheden</v>
      </c>
      <c r="C14" s="96"/>
      <c r="D14" s="3" t="str">
        <f>IF(TAAL="Engels", Data!$E$34,Data!$E$33)</f>
        <v>Bijzondere omstandigheden</v>
      </c>
      <c r="E14" s="107"/>
      <c r="F14" s="3" t="str">
        <f>IF(TAAL="Engels", Data!$E$34,Data!$E$33)</f>
        <v>Bijzondere omstandigheden</v>
      </c>
      <c r="G14" s="107"/>
      <c r="H14" s="3" t="str">
        <f>IF(TAAL="Engels", Data!$E$34,Data!$E$33)</f>
        <v>Bijzondere omstandigheden</v>
      </c>
      <c r="I14" s="107"/>
      <c r="J14" s="3" t="str">
        <f>IF(TAAL="Engels", Data!$E$34,Data!$E$33)</f>
        <v>Bijzondere omstandigheden</v>
      </c>
      <c r="K14" s="56"/>
      <c r="L14" s="52"/>
      <c r="M14" s="3" t="str">
        <f>IF(TAAL="Engels", Data!$E$34,Data!$E$33)</f>
        <v>Bijzondere omstandigheden</v>
      </c>
      <c r="N14" s="107"/>
      <c r="O14" s="100"/>
    </row>
    <row r="15" spans="1:15" ht="75" customHeight="1" thickBot="1" x14ac:dyDescent="0.25">
      <c r="A15" s="99"/>
      <c r="B15" s="65"/>
      <c r="C15" s="97"/>
      <c r="D15" s="65"/>
      <c r="E15" s="108"/>
      <c r="F15" s="65"/>
      <c r="G15" s="108"/>
      <c r="H15" s="65"/>
      <c r="I15" s="108"/>
      <c r="J15" s="65"/>
      <c r="K15" s="35" t="s">
        <v>165</v>
      </c>
      <c r="L15" s="52"/>
      <c r="M15" s="35"/>
      <c r="N15" s="108"/>
      <c r="O15" s="101"/>
    </row>
    <row r="16" spans="1:15" s="44" customFormat="1" ht="19" x14ac:dyDescent="0.25">
      <c r="A16" s="66" t="str">
        <f>IF(TAAL="Engels", Competenties!$D$3, Competenties!$A$3)</f>
        <v>Competentie 1: 
Planmatig werken</v>
      </c>
      <c r="B16" s="59" t="str">
        <f>IF(TAAL="Engels", Data!$E$24,Data!$E$23)</f>
        <v>Motivatie en toelichting</v>
      </c>
      <c r="C16" s="3"/>
      <c r="D16" s="59" t="str">
        <f>IF(TAAL="Engels", Data!$E$24,Data!$E$23)</f>
        <v>Motivatie en toelichting</v>
      </c>
      <c r="E16" s="3"/>
      <c r="F16" s="59" t="str">
        <f>IF(TAAL="Engels", Data!$E$24,Data!$E$23)</f>
        <v>Motivatie en toelichting</v>
      </c>
      <c r="G16" s="3"/>
      <c r="H16" s="59" t="str">
        <f>IF(TAAL="Engels", Data!$E$24,Data!$E$23)</f>
        <v>Motivatie en toelichting</v>
      </c>
      <c r="I16" s="106"/>
      <c r="J16" s="59" t="str">
        <f>IF(TAAL="Engels", Data!$E$24,Data!$E$23)</f>
        <v>Motivatie en toelichting</v>
      </c>
      <c r="K16" s="59"/>
      <c r="M16" s="59" t="str">
        <f>IF(TAAL="Engels", Data!$E$24,Data!$E$23)</f>
        <v>Motivatie en toelichting</v>
      </c>
      <c r="N16" s="3"/>
      <c r="O16" s="3"/>
    </row>
    <row r="17" spans="1:15" ht="95.25" customHeight="1" thickBot="1" x14ac:dyDescent="0.25">
      <c r="A17" s="102" t="str">
        <f>IF(TAAL="Engels", Competenties!$E$3, Competenties!$B$3)</f>
        <v>WAT &amp; WAAROM
•	Student geeft de context van de opdracht aan, waarbij probleem en/of aanleiding, doel, stakeholders en scope duidelijk worden
•	Student beschrijft de beoogde deliverables (producten, handelingen) van de opdracht
•	Student neemt hierbij (zoals stakeholders, deliverables) zowel school als bedrijf mee, in de juiste balans.
HOE
•	Student bepaalt fasen en activiteiten bij de opdracht, verwerkt deze in een realistische planning, en bepaalt relevante risico’s en bijpassende maatregelen 
•	Student onderbouwt de gekozen aanpak (methoden &amp; technieken), welke past bij doel en context van de opdracht
•	Student werkt volgens het PvA en wijkt hier in overleg vanaf waar nodig.
MATE VAN ZELFSTANDIGHEID
•	Student(en) komt/komen zelfstandig tot een bruikbaar (samenhangend, volledig en van voldoende kwaliteit) Plan van Aanpak.</v>
      </c>
      <c r="B17" s="35" t="s">
        <v>103</v>
      </c>
      <c r="C17" s="69"/>
      <c r="D17" s="35" t="s">
        <v>103</v>
      </c>
      <c r="E17" s="69"/>
      <c r="F17" s="35" t="s">
        <v>103</v>
      </c>
      <c r="G17" s="69"/>
      <c r="H17" s="35" t="s">
        <v>103</v>
      </c>
      <c r="I17" s="107"/>
      <c r="J17" s="35" t="s">
        <v>103</v>
      </c>
      <c r="K17" s="70"/>
      <c r="M17" s="35" t="s">
        <v>103</v>
      </c>
      <c r="N17" s="69"/>
      <c r="O17" s="71"/>
    </row>
    <row r="18" spans="1:15" s="44" customFormat="1" ht="19" x14ac:dyDescent="0.25">
      <c r="A18" s="103"/>
      <c r="B18" s="59" t="str">
        <f>Data!$B$6</f>
        <v>Student 1</v>
      </c>
      <c r="C18" s="3" t="str">
        <f>IF(TAAL="Engels", Data!$E$26,Data!$E$25)</f>
        <v>Oordeel</v>
      </c>
      <c r="D18" s="59" t="str">
        <f>Data!$B$6</f>
        <v>Student 1</v>
      </c>
      <c r="E18" s="3" t="str">
        <f>IF(TAAL="Engels", Data!$E$26,Data!$E$25)</f>
        <v>Oordeel</v>
      </c>
      <c r="F18" s="59" t="str">
        <f>Data!$B$6</f>
        <v>Student 1</v>
      </c>
      <c r="G18" s="3" t="str">
        <f>IF(TAAL="Engels", Data!$E$26,Data!$E$25)</f>
        <v>Oordeel</v>
      </c>
      <c r="H18" s="59" t="str">
        <f>Data!$B$6</f>
        <v>Student 1</v>
      </c>
      <c r="I18" s="107"/>
      <c r="J18" s="59" t="str">
        <f>Data!$B$6</f>
        <v>Student 1</v>
      </c>
      <c r="K18" s="59" t="str">
        <f>IF(TAAL="Engels", Data!$E$26,Data!$E$25)</f>
        <v>Oordeel</v>
      </c>
      <c r="M18" s="59" t="str">
        <f>Data!$B$6</f>
        <v>Student 1</v>
      </c>
      <c r="N18" s="3" t="str">
        <f>IF(TAAL="Engels", Data!$E$26,Data!$E$25)</f>
        <v>Oordeel</v>
      </c>
      <c r="O18" s="3" t="str">
        <f>IF(TAAL="Engels", Data!$E$26,Data!$E$25)</f>
        <v>Oordeel</v>
      </c>
    </row>
    <row r="19" spans="1:15" ht="93.75" customHeight="1" thickBot="1" x14ac:dyDescent="0.25">
      <c r="A19" s="103"/>
      <c r="B19" s="35" t="s">
        <v>106</v>
      </c>
      <c r="C19" s="60"/>
      <c r="D19" s="35" t="s">
        <v>106</v>
      </c>
      <c r="E19" s="60"/>
      <c r="F19" s="35" t="s">
        <v>106</v>
      </c>
      <c r="G19" s="60"/>
      <c r="H19" s="35" t="s">
        <v>106</v>
      </c>
      <c r="I19" s="107"/>
      <c r="J19" s="35" t="s">
        <v>106</v>
      </c>
      <c r="K19" s="81"/>
      <c r="M19" s="35" t="s">
        <v>106</v>
      </c>
      <c r="N19" s="60"/>
      <c r="O19" s="82"/>
    </row>
    <row r="20" spans="1:15" s="44" customFormat="1" ht="19" x14ac:dyDescent="0.25">
      <c r="A20" s="103"/>
      <c r="B20" s="59" t="str">
        <f>Data!$B$8</f>
        <v>Student 2</v>
      </c>
      <c r="C20" s="3" t="str">
        <f>IF(TAAL="Engels", Data!$E$26,Data!$E$25)</f>
        <v>Oordeel</v>
      </c>
      <c r="D20" s="59" t="str">
        <f>Data!$B$8</f>
        <v>Student 2</v>
      </c>
      <c r="E20" s="3" t="str">
        <f>IF(TAAL="Engels", Data!$E$26,Data!$E$25)</f>
        <v>Oordeel</v>
      </c>
      <c r="F20" s="59" t="str">
        <f>Data!$B$8</f>
        <v>Student 2</v>
      </c>
      <c r="G20" s="3" t="str">
        <f>IF(TAAL="Engels", Data!$E$26,Data!$E$25)</f>
        <v>Oordeel</v>
      </c>
      <c r="H20" s="59" t="str">
        <f>Data!$B$8</f>
        <v>Student 2</v>
      </c>
      <c r="I20" s="107"/>
      <c r="J20" s="59" t="str">
        <f>Data!$B$8</f>
        <v>Student 2</v>
      </c>
      <c r="K20" s="59" t="str">
        <f>IF(TAAL="Engels", Data!$E$26,Data!$E$25)</f>
        <v>Oordeel</v>
      </c>
      <c r="M20" s="59" t="str">
        <f>Data!$B$8</f>
        <v>Student 2</v>
      </c>
      <c r="N20" s="3" t="str">
        <f>IF(TAAL="Engels", Data!$E$26,Data!$E$25)</f>
        <v>Oordeel</v>
      </c>
      <c r="O20" s="3" t="str">
        <f>IF(TAAL="Engels", Data!$E$26,Data!$E$25)</f>
        <v>Oordeel</v>
      </c>
    </row>
    <row r="21" spans="1:15" ht="83.25" customHeight="1" thickBot="1" x14ac:dyDescent="0.25">
      <c r="A21" s="104"/>
      <c r="B21" s="35" t="s">
        <v>105</v>
      </c>
      <c r="C21" s="60"/>
      <c r="D21" s="35" t="s">
        <v>105</v>
      </c>
      <c r="E21" s="60"/>
      <c r="F21" s="35" t="s">
        <v>105</v>
      </c>
      <c r="G21" s="60"/>
      <c r="H21" s="35" t="s">
        <v>105</v>
      </c>
      <c r="I21" s="107"/>
      <c r="J21" s="35" t="s">
        <v>105</v>
      </c>
      <c r="K21" s="81"/>
      <c r="M21" s="35" t="s">
        <v>105</v>
      </c>
      <c r="N21" s="60"/>
      <c r="O21" s="82"/>
    </row>
    <row r="22" spans="1:15" s="44" customFormat="1" ht="19" x14ac:dyDescent="0.25">
      <c r="A22" s="66" t="str">
        <f>IF(TAAL="Engels", Competenties!$D$4, Competenties!$A$4)</f>
        <v>Competentie 2: 
Probleem-oplossend vermogen, leveren van beroepsprestaties</v>
      </c>
      <c r="B22" s="59" t="str">
        <f>IF(TAAL="Engels", Data!$E$24,Data!$E$23)</f>
        <v>Motivatie en toelichting</v>
      </c>
      <c r="C22" s="3"/>
      <c r="D22" s="59" t="str">
        <f>IF(TAAL="Engels", Data!$E$24,Data!$E$23)</f>
        <v>Motivatie en toelichting</v>
      </c>
      <c r="E22" s="3"/>
      <c r="F22" s="59" t="str">
        <f>IF(TAAL="Engels", Data!$E$24,Data!$E$23)</f>
        <v>Motivatie en toelichting</v>
      </c>
      <c r="G22" s="3"/>
      <c r="H22" s="59" t="str">
        <f>IF(TAAL="Engels", Data!$E$24,Data!$E$23)</f>
        <v>Motivatie en toelichting</v>
      </c>
      <c r="I22" s="107"/>
      <c r="J22" s="59" t="str">
        <f>IF(TAAL="Engels", Data!$E$24,Data!$E$23)</f>
        <v>Motivatie en toelichting</v>
      </c>
      <c r="K22" s="59"/>
      <c r="M22" s="59" t="str">
        <f>IF(TAAL="Engels", Data!$E$24,Data!$E$23)</f>
        <v>Motivatie en toelichting</v>
      </c>
      <c r="N22" s="3"/>
      <c r="O22" s="3"/>
    </row>
    <row r="23" spans="1:15" ht="95.25" customHeight="1" thickBot="1" x14ac:dyDescent="0.25">
      <c r="A23" s="92" t="str">
        <f>IF(TAAL="Engels", Competenties!$E$4, Competenties!$B$4)</f>
        <v>EISEN
•	Student formuleert vooraf heldere eisen aan de deliverables, welke aansluiten bij de behoeften van de opdrachtgever/klant
UITVOEREN
•	Student realiseert de benodigde deliverables conform die eisen en verwachtingen
•	Student onderbouwt de keuzes gemaakt tijdens het realiseren van die deliverables
•	Student borgt de kwaliteit van de deliverables door passende tests, controles, validaties
OVERDRACHT
•	Student zorgt er middels implementatie/overdrachts-activiteiten voor dat de opdrachtgever daadwerkelijk succes kan hebben met de geleverde resultaten
•	Student heeft een tevreden opdrachtgever
MATE VAN ZELFSTANDIGHEID
•	Student(en) heeft/hebben hierin zelfstandig gewerkt.</v>
      </c>
      <c r="B23" s="35" t="s">
        <v>103</v>
      </c>
      <c r="C23" s="69"/>
      <c r="D23" s="35" t="s">
        <v>103</v>
      </c>
      <c r="E23" s="69"/>
      <c r="F23" s="35" t="s">
        <v>103</v>
      </c>
      <c r="G23" s="69"/>
      <c r="H23" s="35" t="s">
        <v>103</v>
      </c>
      <c r="I23" s="107"/>
      <c r="J23" s="35" t="s">
        <v>103</v>
      </c>
      <c r="K23" s="70"/>
      <c r="M23" s="35" t="s">
        <v>103</v>
      </c>
      <c r="N23" s="69"/>
      <c r="O23" s="71"/>
    </row>
    <row r="24" spans="1:15" s="44" customFormat="1" ht="19" x14ac:dyDescent="0.25">
      <c r="A24" s="93"/>
      <c r="B24" s="59" t="str">
        <f>Data!$B$6</f>
        <v>Student 1</v>
      </c>
      <c r="C24" s="3" t="str">
        <f>IF(TAAL="Engels", Data!$E$26,Data!$E$25)</f>
        <v>Oordeel</v>
      </c>
      <c r="D24" s="59" t="str">
        <f>Data!$B$6</f>
        <v>Student 1</v>
      </c>
      <c r="E24" s="3" t="str">
        <f>IF(TAAL="Engels", Data!$E$26,Data!$E$25)</f>
        <v>Oordeel</v>
      </c>
      <c r="F24" s="59" t="str">
        <f>Data!$B$6</f>
        <v>Student 1</v>
      </c>
      <c r="G24" s="3" t="str">
        <f>IF(TAAL="Engels", Data!$E$26,Data!$E$25)</f>
        <v>Oordeel</v>
      </c>
      <c r="H24" s="59" t="str">
        <f>Data!$B$6</f>
        <v>Student 1</v>
      </c>
      <c r="I24" s="107"/>
      <c r="J24" s="59" t="str">
        <f>Data!$B$6</f>
        <v>Student 1</v>
      </c>
      <c r="K24" s="59" t="str">
        <f>IF(TAAL="Engels", Data!$E$26,Data!$E$25)</f>
        <v>Oordeel</v>
      </c>
      <c r="M24" s="59" t="str">
        <f>Data!$B$6</f>
        <v>Student 1</v>
      </c>
      <c r="N24" s="3" t="str">
        <f>IF(TAAL="Engels", Data!$E$26,Data!$E$25)</f>
        <v>Oordeel</v>
      </c>
      <c r="O24" s="3" t="str">
        <f>IF(TAAL="Engels", Data!$E$26,Data!$E$25)</f>
        <v>Oordeel</v>
      </c>
    </row>
    <row r="25" spans="1:15" ht="93.75" customHeight="1" thickBot="1" x14ac:dyDescent="0.25">
      <c r="A25" s="93"/>
      <c r="B25" s="35" t="s">
        <v>104</v>
      </c>
      <c r="C25" s="60"/>
      <c r="D25" s="35" t="s">
        <v>104</v>
      </c>
      <c r="E25" s="60"/>
      <c r="F25" s="35" t="s">
        <v>104</v>
      </c>
      <c r="G25" s="60"/>
      <c r="H25" s="35" t="s">
        <v>104</v>
      </c>
      <c r="I25" s="107"/>
      <c r="J25" s="35" t="s">
        <v>104</v>
      </c>
      <c r="K25" s="81"/>
      <c r="M25" s="35" t="s">
        <v>104</v>
      </c>
      <c r="N25" s="60"/>
      <c r="O25" s="82"/>
    </row>
    <row r="26" spans="1:15" s="44" customFormat="1" ht="19" x14ac:dyDescent="0.25">
      <c r="A26" s="93"/>
      <c r="B26" s="59" t="str">
        <f>Data!$B$8</f>
        <v>Student 2</v>
      </c>
      <c r="C26" s="3" t="str">
        <f>IF(TAAL="Engels", Data!$E$26,Data!$E$25)</f>
        <v>Oordeel</v>
      </c>
      <c r="D26" s="59" t="str">
        <f>Data!$B$8</f>
        <v>Student 2</v>
      </c>
      <c r="E26" s="3" t="str">
        <f>IF(TAAL="Engels", Data!$E$26,Data!$E$25)</f>
        <v>Oordeel</v>
      </c>
      <c r="F26" s="59" t="str">
        <f>Data!$B$8</f>
        <v>Student 2</v>
      </c>
      <c r="G26" s="3" t="str">
        <f>IF(TAAL="Engels", Data!$E$26,Data!$E$25)</f>
        <v>Oordeel</v>
      </c>
      <c r="H26" s="59" t="str">
        <f>Data!$B$8</f>
        <v>Student 2</v>
      </c>
      <c r="I26" s="107"/>
      <c r="J26" s="59" t="str">
        <f>Data!$B$8</f>
        <v>Student 2</v>
      </c>
      <c r="K26" s="59" t="str">
        <f>IF(TAAL="Engels", Data!$E$26,Data!$E$25)</f>
        <v>Oordeel</v>
      </c>
      <c r="M26" s="59" t="str">
        <f>Data!$B$8</f>
        <v>Student 2</v>
      </c>
      <c r="N26" s="3" t="str">
        <f>IF(TAAL="Engels", Data!$E$26,Data!$E$25)</f>
        <v>Oordeel</v>
      </c>
      <c r="O26" s="3" t="str">
        <f>IF(TAAL="Engels", Data!$E$26,Data!$E$25)</f>
        <v>Oordeel</v>
      </c>
    </row>
    <row r="27" spans="1:15" ht="83.25" customHeight="1" thickBot="1" x14ac:dyDescent="0.25">
      <c r="A27" s="94"/>
      <c r="B27" s="35" t="s">
        <v>105</v>
      </c>
      <c r="C27" s="60"/>
      <c r="D27" s="35" t="s">
        <v>105</v>
      </c>
      <c r="E27" s="60"/>
      <c r="F27" s="35" t="s">
        <v>105</v>
      </c>
      <c r="G27" s="60"/>
      <c r="H27" s="35" t="s">
        <v>105</v>
      </c>
      <c r="I27" s="107"/>
      <c r="J27" s="35" t="s">
        <v>105</v>
      </c>
      <c r="K27" s="81"/>
      <c r="M27" s="35" t="s">
        <v>105</v>
      </c>
      <c r="N27" s="60"/>
      <c r="O27" s="82"/>
    </row>
    <row r="28" spans="1:15" s="44" customFormat="1" ht="19" x14ac:dyDescent="0.25">
      <c r="A28" s="66" t="str">
        <f>IF(TAAL="Engels", Competenties!$D$5, Competenties!$A$5)</f>
        <v>Competentie 3: 
Onderzoekend vermogen</v>
      </c>
      <c r="B28" s="59" t="str">
        <f>IF(TAAL="Engels", Data!$E$24,Data!$E$23)</f>
        <v>Motivatie en toelichting</v>
      </c>
      <c r="C28" s="3"/>
      <c r="D28" s="59" t="str">
        <f>IF(TAAL="Engels", Data!$E$24,Data!$E$23)</f>
        <v>Motivatie en toelichting</v>
      </c>
      <c r="E28" s="3"/>
      <c r="F28" s="59" t="str">
        <f>IF(TAAL="Engels", Data!$E$24,Data!$E$23)</f>
        <v>Motivatie en toelichting</v>
      </c>
      <c r="G28" s="3"/>
      <c r="H28" s="59" t="str">
        <f>IF(TAAL="Engels", Data!$E$24,Data!$E$23)</f>
        <v>Motivatie en toelichting</v>
      </c>
      <c r="I28" s="107"/>
      <c r="J28" s="59" t="str">
        <f>IF(TAAL="Engels", Data!$E$24,Data!$E$23)</f>
        <v>Motivatie en toelichting</v>
      </c>
      <c r="K28" s="59"/>
      <c r="M28" s="59" t="str">
        <f>IF(TAAL="Engels", Data!$E$24,Data!$E$23)</f>
        <v>Motivatie en toelichting</v>
      </c>
      <c r="N28" s="3"/>
      <c r="O28" s="3"/>
    </row>
    <row r="29" spans="1:15" ht="95.25" customHeight="1" thickBot="1" x14ac:dyDescent="0.25">
      <c r="A29" s="92" t="str">
        <f>IF(TAAL="Engels", Competenties!$E$5, Competenties!$B$5)</f>
        <v>ONDERZOEKEN
•	Student bepaalt een relevante hoofdvraag/probleemstelling
•	Student voert op systematische wijze onderzoek uit (denk aan: construeren logische set onderzoeksvragen, kiezen van passende onderzoeksmethoden, triangulatie, etc.)
•	Student verzamelt en analyseert ontbrekende informatie uit diverse bronnen
KRITISCH DENKEN
•	Student gebruikt hierbij (wetenschappelijke) inzichten van anderen, oriënteert zich breed en is kritisch op gebruikte bronnen
•	Student overweegt alternatieven en onderbouwt keuzes door middel van onafhankelijke/objectieve informatie en logische redenering
MATE VAN ZELFSTANDIGHEID
•	Student(en) heeft/hebben hierin zelfstandig gewerkt.</v>
      </c>
      <c r="B29" s="35" t="s">
        <v>103</v>
      </c>
      <c r="C29" s="69"/>
      <c r="D29" s="35" t="s">
        <v>103</v>
      </c>
      <c r="E29" s="69"/>
      <c r="F29" s="35" t="s">
        <v>103</v>
      </c>
      <c r="G29" s="69"/>
      <c r="H29" s="35" t="s">
        <v>103</v>
      </c>
      <c r="I29" s="107"/>
      <c r="J29" s="35" t="s">
        <v>103</v>
      </c>
      <c r="K29" s="70"/>
      <c r="M29" s="35" t="s">
        <v>103</v>
      </c>
      <c r="N29" s="69"/>
      <c r="O29" s="71"/>
    </row>
    <row r="30" spans="1:15" s="44" customFormat="1" ht="20" thickBot="1" x14ac:dyDescent="0.3">
      <c r="A30" s="93"/>
      <c r="B30" s="59" t="str">
        <f>Data!$B$6</f>
        <v>Student 1</v>
      </c>
      <c r="C30" s="3" t="str">
        <f>IF(TAAL="Engels", Data!$E$26,Data!$E$25)</f>
        <v>Oordeel</v>
      </c>
      <c r="D30" s="59" t="str">
        <f>Data!$B$6</f>
        <v>Student 1</v>
      </c>
      <c r="E30" s="3" t="str">
        <f>IF(TAAL="Engels", Data!$E$26,Data!$E$25)</f>
        <v>Oordeel</v>
      </c>
      <c r="F30" s="59" t="str">
        <f>Data!$B$6</f>
        <v>Student 1</v>
      </c>
      <c r="G30" s="3" t="str">
        <f>IF(TAAL="Engels", Data!$E$26,Data!$E$25)</f>
        <v>Oordeel</v>
      </c>
      <c r="H30" s="59" t="str">
        <f>Data!$B$6</f>
        <v>Student 1</v>
      </c>
      <c r="I30" s="108"/>
      <c r="J30" s="59" t="str">
        <f>Data!$B$6</f>
        <v>Student 1</v>
      </c>
      <c r="K30" s="59" t="str">
        <f>IF(TAAL="Engels", Data!$E$26,Data!$E$25)</f>
        <v>Oordeel</v>
      </c>
      <c r="M30" s="59" t="str">
        <f>Data!$B$6</f>
        <v>Student 1</v>
      </c>
      <c r="N30" s="3" t="str">
        <f>IF(TAAL="Engels", Data!$E$26,Data!$E$25)</f>
        <v>Oordeel</v>
      </c>
      <c r="O30" s="3" t="str">
        <f>IF(TAAL="Engels", Data!$E$26,Data!$E$25)</f>
        <v>Oordeel</v>
      </c>
    </row>
    <row r="31" spans="1:15" ht="93.75" customHeight="1" thickBot="1" x14ac:dyDescent="0.25">
      <c r="A31" s="93"/>
      <c r="B31" s="35" t="s">
        <v>104</v>
      </c>
      <c r="C31" s="60"/>
      <c r="D31" s="35" t="s">
        <v>104</v>
      </c>
      <c r="E31" s="60"/>
      <c r="F31" s="35" t="s">
        <v>104</v>
      </c>
      <c r="G31" s="60"/>
      <c r="H31" s="35" t="s">
        <v>104</v>
      </c>
      <c r="I31" s="106"/>
      <c r="J31" s="35" t="s">
        <v>104</v>
      </c>
      <c r="K31" s="81"/>
      <c r="M31" s="35" t="s">
        <v>104</v>
      </c>
      <c r="N31" s="60"/>
      <c r="O31" s="82"/>
    </row>
    <row r="32" spans="1:15" s="44" customFormat="1" ht="19" x14ac:dyDescent="0.25">
      <c r="A32" s="93"/>
      <c r="B32" s="59" t="str">
        <f>Data!$B$8</f>
        <v>Student 2</v>
      </c>
      <c r="C32" s="3" t="str">
        <f>IF(TAAL="Engels", Data!$E$26,Data!$E$25)</f>
        <v>Oordeel</v>
      </c>
      <c r="D32" s="59" t="str">
        <f>Data!$B$8</f>
        <v>Student 2</v>
      </c>
      <c r="E32" s="3" t="str">
        <f>IF(TAAL="Engels", Data!$E$26,Data!$E$25)</f>
        <v>Oordeel</v>
      </c>
      <c r="F32" s="59" t="str">
        <f>Data!$B$8</f>
        <v>Student 2</v>
      </c>
      <c r="G32" s="3" t="str">
        <f>IF(TAAL="Engels", Data!$E$26,Data!$E$25)</f>
        <v>Oordeel</v>
      </c>
      <c r="H32" s="59" t="str">
        <f>Data!$B$8</f>
        <v>Student 2</v>
      </c>
      <c r="I32" s="107"/>
      <c r="J32" s="59" t="str">
        <f>Data!$B$8</f>
        <v>Student 2</v>
      </c>
      <c r="K32" s="59" t="str">
        <f>IF(TAAL="Engels", Data!$E$26,Data!$E$25)</f>
        <v>Oordeel</v>
      </c>
      <c r="M32" s="59" t="str">
        <f>Data!$B$8</f>
        <v>Student 2</v>
      </c>
      <c r="N32" s="3" t="str">
        <f>IF(TAAL="Engels", Data!$E$26,Data!$E$25)</f>
        <v>Oordeel</v>
      </c>
      <c r="O32" s="3" t="str">
        <f>IF(TAAL="Engels", Data!$E$26,Data!$E$25)</f>
        <v>Oordeel</v>
      </c>
    </row>
    <row r="33" spans="1:15" ht="83.25" customHeight="1" thickBot="1" x14ac:dyDescent="0.25">
      <c r="A33" s="94"/>
      <c r="B33" s="35" t="s">
        <v>105</v>
      </c>
      <c r="C33" s="60"/>
      <c r="D33" s="35" t="s">
        <v>105</v>
      </c>
      <c r="E33" s="60"/>
      <c r="F33" s="35" t="s">
        <v>105</v>
      </c>
      <c r="G33" s="60"/>
      <c r="H33" s="35" t="s">
        <v>105</v>
      </c>
      <c r="I33" s="107"/>
      <c r="J33" s="35" t="s">
        <v>105</v>
      </c>
      <c r="K33" s="81"/>
      <c r="M33" s="35" t="s">
        <v>105</v>
      </c>
      <c r="N33" s="60"/>
      <c r="O33" s="82"/>
    </row>
    <row r="34" spans="1:15" s="44" customFormat="1" ht="19" x14ac:dyDescent="0.25">
      <c r="A34" s="66" t="str">
        <f>IF(TAAL="Engels", Competenties!$D$6, Competenties!$A$6)</f>
        <v>Competentie 4: 
Samenwerken &amp; communiceren</v>
      </c>
      <c r="B34" s="59" t="str">
        <f>IF(TAAL="Engels", Data!$E$24,Data!$E$23)</f>
        <v>Motivatie en toelichting</v>
      </c>
      <c r="C34" s="3"/>
      <c r="D34" s="59" t="str">
        <f>IF(TAAL="Engels", Data!$E$24,Data!$E$23)</f>
        <v>Motivatie en toelichting</v>
      </c>
      <c r="E34" s="3"/>
      <c r="F34" s="59" t="str">
        <f>IF(TAAL="Engels", Data!$E$24,Data!$E$23)</f>
        <v>Motivatie en toelichting</v>
      </c>
      <c r="G34" s="3"/>
      <c r="H34" s="59" t="str">
        <f>IF(TAAL="Engels", Data!$E$24,Data!$E$23)</f>
        <v>Motivatie en toelichting</v>
      </c>
      <c r="I34" s="107"/>
      <c r="J34" s="59" t="str">
        <f>IF(TAAL="Engels", Data!$E$24,Data!$E$23)</f>
        <v>Motivatie en toelichting</v>
      </c>
      <c r="K34" s="59"/>
      <c r="M34" s="59" t="str">
        <f>IF(TAAL="Engels", Data!$E$24,Data!$E$23)</f>
        <v>Motivatie en toelichting</v>
      </c>
      <c r="N34" s="3"/>
      <c r="O34" s="3"/>
    </row>
    <row r="35" spans="1:15" ht="95.25" customHeight="1" thickBot="1" x14ac:dyDescent="0.25">
      <c r="A35" s="92" t="str">
        <f>IF(TAAL="Engels", Competenties!$E$6, Competenties!$B$6)</f>
        <v>PROACTIEVE HOUDING
•	Student stemt proactief af met de relevante stakeholders, waaronder in elk geval de opdrachtgever, bedrijfsbegeleider en docent-begeleider. Daaronder valt in ieder geval het op de hoogte houden van de voortgang.
MONDELING
•	Student laat goede mondelinge communicatievaardigheden zien, in bijvoorbeeld gesprekken en presentaties
SCHRIFTELIJK
•	Student laat goede schriftelijke communicatievaardigheden zien (goed gestructureerd, taalgebruik is verzorgd, en voldoende passend bij de doelgroep)</v>
      </c>
      <c r="B35" s="35" t="s">
        <v>103</v>
      </c>
      <c r="C35" s="69"/>
      <c r="D35" s="35" t="s">
        <v>103</v>
      </c>
      <c r="E35" s="69"/>
      <c r="F35" s="35" t="s">
        <v>103</v>
      </c>
      <c r="G35" s="69"/>
      <c r="H35" s="35" t="s">
        <v>103</v>
      </c>
      <c r="I35" s="107"/>
      <c r="J35" s="35" t="s">
        <v>103</v>
      </c>
      <c r="K35" s="70"/>
      <c r="M35" s="35" t="s">
        <v>103</v>
      </c>
      <c r="N35" s="69"/>
      <c r="O35" s="71"/>
    </row>
    <row r="36" spans="1:15" s="44" customFormat="1" ht="19" x14ac:dyDescent="0.25">
      <c r="A36" s="93"/>
      <c r="B36" s="59" t="str">
        <f>Data!$B$6</f>
        <v>Student 1</v>
      </c>
      <c r="C36" s="3" t="str">
        <f>IF(TAAL="Engels", Data!$E$26,Data!$E$25)</f>
        <v>Oordeel</v>
      </c>
      <c r="D36" s="59" t="str">
        <f>Data!$B$6</f>
        <v>Student 1</v>
      </c>
      <c r="E36" s="3" t="str">
        <f>IF(TAAL="Engels", Data!$E$26,Data!$E$25)</f>
        <v>Oordeel</v>
      </c>
      <c r="F36" s="59" t="str">
        <f>Data!$B$6</f>
        <v>Student 1</v>
      </c>
      <c r="G36" s="3" t="str">
        <f>IF(TAAL="Engels", Data!$E$26,Data!$E$25)</f>
        <v>Oordeel</v>
      </c>
      <c r="H36" s="59" t="str">
        <f>Data!$B$6</f>
        <v>Student 1</v>
      </c>
      <c r="I36" s="107"/>
      <c r="J36" s="59" t="str">
        <f>Data!$B$6</f>
        <v>Student 1</v>
      </c>
      <c r="K36" s="59" t="str">
        <f>IF(TAAL="Engels", Data!$E$26,Data!$E$25)</f>
        <v>Oordeel</v>
      </c>
      <c r="M36" s="59" t="str">
        <f>Data!$B$6</f>
        <v>Student 1</v>
      </c>
      <c r="N36" s="3" t="str">
        <f>IF(TAAL="Engels", Data!$E$26,Data!$E$25)</f>
        <v>Oordeel</v>
      </c>
      <c r="O36" s="3" t="str">
        <f>IF(TAAL="Engels", Data!$E$26,Data!$E$25)</f>
        <v>Oordeel</v>
      </c>
    </row>
    <row r="37" spans="1:15" ht="93.75" customHeight="1" thickBot="1" x14ac:dyDescent="0.25">
      <c r="A37" s="93"/>
      <c r="B37" s="35" t="s">
        <v>104</v>
      </c>
      <c r="C37" s="60"/>
      <c r="D37" s="35" t="s">
        <v>104</v>
      </c>
      <c r="E37" s="60"/>
      <c r="F37" s="35" t="s">
        <v>104</v>
      </c>
      <c r="G37" s="60"/>
      <c r="H37" s="35" t="s">
        <v>104</v>
      </c>
      <c r="I37" s="107"/>
      <c r="J37" s="35" t="s">
        <v>104</v>
      </c>
      <c r="K37" s="81"/>
      <c r="M37" s="35" t="s">
        <v>104</v>
      </c>
      <c r="N37" s="60"/>
      <c r="O37" s="82"/>
    </row>
    <row r="38" spans="1:15" s="44" customFormat="1" ht="19" x14ac:dyDescent="0.25">
      <c r="A38" s="93"/>
      <c r="B38" s="59" t="str">
        <f>Data!$B$8</f>
        <v>Student 2</v>
      </c>
      <c r="C38" s="3" t="str">
        <f>IF(TAAL="Engels", Data!$E$26,Data!$E$25)</f>
        <v>Oordeel</v>
      </c>
      <c r="D38" s="59" t="str">
        <f>Data!$B$8</f>
        <v>Student 2</v>
      </c>
      <c r="E38" s="3" t="str">
        <f>IF(TAAL="Engels", Data!$E$26,Data!$E$25)</f>
        <v>Oordeel</v>
      </c>
      <c r="F38" s="59" t="str">
        <f>Data!$B$8</f>
        <v>Student 2</v>
      </c>
      <c r="G38" s="3" t="str">
        <f>IF(TAAL="Engels", Data!$E$26,Data!$E$25)</f>
        <v>Oordeel</v>
      </c>
      <c r="H38" s="59" t="str">
        <f>Data!$B$8</f>
        <v>Student 2</v>
      </c>
      <c r="I38" s="107"/>
      <c r="J38" s="59" t="str">
        <f>Data!$B$8</f>
        <v>Student 2</v>
      </c>
      <c r="K38" s="59" t="str">
        <f>IF(TAAL="Engels", Data!$E$26,Data!$E$25)</f>
        <v>Oordeel</v>
      </c>
      <c r="M38" s="59" t="str">
        <f>Data!$B$8</f>
        <v>Student 2</v>
      </c>
      <c r="N38" s="3" t="str">
        <f>IF(TAAL="Engels", Data!$E$26,Data!$E$25)</f>
        <v>Oordeel</v>
      </c>
      <c r="O38" s="3" t="str">
        <f>IF(TAAL="Engels", Data!$E$26,Data!$E$25)</f>
        <v>Oordeel</v>
      </c>
    </row>
    <row r="39" spans="1:15" ht="83.25" customHeight="1" thickBot="1" x14ac:dyDescent="0.25">
      <c r="A39" s="94"/>
      <c r="B39" s="35" t="s">
        <v>105</v>
      </c>
      <c r="C39" s="60"/>
      <c r="D39" s="35" t="s">
        <v>105</v>
      </c>
      <c r="E39" s="60"/>
      <c r="F39" s="35" t="s">
        <v>105</v>
      </c>
      <c r="G39" s="60"/>
      <c r="H39" s="35" t="s">
        <v>105</v>
      </c>
      <c r="I39" s="107"/>
      <c r="J39" s="35" t="s">
        <v>105</v>
      </c>
      <c r="K39" s="81"/>
      <c r="M39" s="35" t="s">
        <v>105</v>
      </c>
      <c r="N39" s="60"/>
      <c r="O39" s="82"/>
    </row>
    <row r="40" spans="1:15" s="44" customFormat="1" ht="19" x14ac:dyDescent="0.25">
      <c r="A40" s="66" t="str">
        <f>IF(TAAL="Engels", Competenties!$D$7, Competenties!$A$7)</f>
        <v>Competentie 5: 
Professionele houding</v>
      </c>
      <c r="B40" s="59" t="str">
        <f>IF(TAAL="Engels", Data!$E$24,Data!$E$23)</f>
        <v>Motivatie en toelichting</v>
      </c>
      <c r="C40" s="3"/>
      <c r="D40" s="59" t="str">
        <f>IF(TAAL="Engels", Data!$E$24,Data!$E$23)</f>
        <v>Motivatie en toelichting</v>
      </c>
      <c r="E40" s="3"/>
      <c r="F40" s="59" t="str">
        <f>IF(TAAL="Engels", Data!$E$24,Data!$E$23)</f>
        <v>Motivatie en toelichting</v>
      </c>
      <c r="G40" s="3"/>
      <c r="H40" s="59" t="str">
        <f>IF(TAAL="Engels", Data!$E$24,Data!$E$23)</f>
        <v>Motivatie en toelichting</v>
      </c>
      <c r="I40" s="107"/>
      <c r="J40" s="59" t="str">
        <f>IF(TAAL="Engels", Data!$E$24,Data!$E$23)</f>
        <v>Motivatie en toelichting</v>
      </c>
      <c r="K40" s="59"/>
      <c r="M40" s="59" t="str">
        <f>IF(TAAL="Engels", Data!$E$24,Data!$E$23)</f>
        <v>Motivatie en toelichting</v>
      </c>
      <c r="N40" s="3"/>
      <c r="O40" s="3"/>
    </row>
    <row r="41" spans="1:15" ht="95.25" customHeight="1" thickBot="1" x14ac:dyDescent="0.25">
      <c r="A41" s="92" t="str">
        <f>IF(TAAL="Engels", Competenties!$E$7, Competenties!$B$7)</f>
        <v>PROFESSIONEEL WERKNEMER/OPDRACHTNEMER
•	Student functioneert als beginnend professional in de organisatie
•	Student toont eigenaarschap voor de opdracht en neemt initiatief om de opdracht succesvol te voltooien
MAATSCHAPPELIJKE VERANTWOORDELIJKHEID
•	Student houdt bij het uitvoeren van de opdracht expliciet rekening met de impact op anderen (denk aan: de maatschappij, milieu/planeet, privacy/security, etc.).
ZELFSTURING
•	Student heeft inzicht in eigen competenties en handelen (zelfreflectie)
•	Student toont eigenaarschap van de persoonlijke ontwikkeling door onderbouwde keuzes te maken
•	Student gaat professioneel en effectief om met (on)gevraagde feedback</v>
      </c>
      <c r="B41" s="35" t="s">
        <v>103</v>
      </c>
      <c r="C41" s="69"/>
      <c r="D41" s="35" t="s">
        <v>103</v>
      </c>
      <c r="E41" s="69"/>
      <c r="F41" s="35" t="s">
        <v>103</v>
      </c>
      <c r="G41" s="69"/>
      <c r="H41" s="35" t="s">
        <v>103</v>
      </c>
      <c r="I41" s="107"/>
      <c r="J41" s="35" t="s">
        <v>103</v>
      </c>
      <c r="K41" s="70"/>
      <c r="M41" s="35" t="s">
        <v>103</v>
      </c>
      <c r="N41" s="69"/>
      <c r="O41" s="71"/>
    </row>
    <row r="42" spans="1:15" s="44" customFormat="1" ht="19" x14ac:dyDescent="0.25">
      <c r="A42" s="93"/>
      <c r="B42" s="59" t="str">
        <f>Data!$B$6</f>
        <v>Student 1</v>
      </c>
      <c r="C42" s="3" t="str">
        <f>IF(TAAL="Engels", Data!$E$26,Data!$E$25)</f>
        <v>Oordeel</v>
      </c>
      <c r="D42" s="59" t="str">
        <f>Data!$B$6</f>
        <v>Student 1</v>
      </c>
      <c r="E42" s="3" t="str">
        <f>IF(TAAL="Engels", Data!$E$26,Data!$E$25)</f>
        <v>Oordeel</v>
      </c>
      <c r="F42" s="59" t="str">
        <f>Data!$B$6</f>
        <v>Student 1</v>
      </c>
      <c r="G42" s="3" t="str">
        <f>IF(TAAL="Engels", Data!$E$26,Data!$E$25)</f>
        <v>Oordeel</v>
      </c>
      <c r="H42" s="59" t="str">
        <f>Data!$B$6</f>
        <v>Student 1</v>
      </c>
      <c r="I42" s="107"/>
      <c r="J42" s="59" t="str">
        <f>Data!$B$6</f>
        <v>Student 1</v>
      </c>
      <c r="K42" s="59" t="str">
        <f>IF(TAAL="Engels", Data!$E$26,Data!$E$25)</f>
        <v>Oordeel</v>
      </c>
      <c r="M42" s="59" t="str">
        <f>Data!$B$6</f>
        <v>Student 1</v>
      </c>
      <c r="N42" s="3" t="str">
        <f>IF(TAAL="Engels", Data!$E$26,Data!$E$25)</f>
        <v>Oordeel</v>
      </c>
      <c r="O42" s="3" t="str">
        <f>IF(TAAL="Engels", Data!$E$26,Data!$E$25)</f>
        <v>Oordeel</v>
      </c>
    </row>
    <row r="43" spans="1:15" ht="93.75" customHeight="1" thickBot="1" x14ac:dyDescent="0.25">
      <c r="A43" s="93"/>
      <c r="B43" s="35" t="s">
        <v>104</v>
      </c>
      <c r="C43" s="60"/>
      <c r="D43" s="35" t="s">
        <v>104</v>
      </c>
      <c r="E43" s="60"/>
      <c r="F43" s="35" t="s">
        <v>104</v>
      </c>
      <c r="G43" s="60"/>
      <c r="H43" s="35" t="s">
        <v>104</v>
      </c>
      <c r="I43" s="107"/>
      <c r="J43" s="35" t="s">
        <v>104</v>
      </c>
      <c r="K43" s="81"/>
      <c r="M43" s="35" t="s">
        <v>104</v>
      </c>
      <c r="N43" s="60"/>
      <c r="O43" s="82"/>
    </row>
    <row r="44" spans="1:15" s="44" customFormat="1" ht="19" x14ac:dyDescent="0.25">
      <c r="A44" s="93"/>
      <c r="B44" s="59" t="str">
        <f>Data!$B$8</f>
        <v>Student 2</v>
      </c>
      <c r="C44" s="3" t="str">
        <f>IF(TAAL="Engels", Data!$E$26,Data!$E$25)</f>
        <v>Oordeel</v>
      </c>
      <c r="D44" s="59" t="str">
        <f>Data!$B$8</f>
        <v>Student 2</v>
      </c>
      <c r="E44" s="3" t="str">
        <f>IF(TAAL="Engels", Data!$E$26,Data!$E$25)</f>
        <v>Oordeel</v>
      </c>
      <c r="F44" s="59" t="str">
        <f>Data!$B$8</f>
        <v>Student 2</v>
      </c>
      <c r="G44" s="3" t="str">
        <f>IF(TAAL="Engels", Data!$E$26,Data!$E$25)</f>
        <v>Oordeel</v>
      </c>
      <c r="H44" s="59" t="str">
        <f>Data!$B$8</f>
        <v>Student 2</v>
      </c>
      <c r="I44" s="107"/>
      <c r="J44" s="59" t="str">
        <f>Data!$B$8</f>
        <v>Student 2</v>
      </c>
      <c r="K44" s="59" t="str">
        <f>IF(TAAL="Engels", Data!$E$26,Data!$E$25)</f>
        <v>Oordeel</v>
      </c>
      <c r="M44" s="59" t="str">
        <f>Data!$B$8</f>
        <v>Student 2</v>
      </c>
      <c r="N44" s="3" t="str">
        <f>IF(TAAL="Engels", Data!$E$26,Data!$E$25)</f>
        <v>Oordeel</v>
      </c>
      <c r="O44" s="3" t="str">
        <f>IF(TAAL="Engels", Data!$E$26,Data!$E$25)</f>
        <v>Oordeel</v>
      </c>
    </row>
    <row r="45" spans="1:15" ht="83.25" customHeight="1" thickBot="1" x14ac:dyDescent="0.25">
      <c r="A45" s="94"/>
      <c r="B45" s="35" t="s">
        <v>105</v>
      </c>
      <c r="C45" s="60"/>
      <c r="D45" s="35" t="s">
        <v>105</v>
      </c>
      <c r="E45" s="60"/>
      <c r="F45" s="35" t="s">
        <v>105</v>
      </c>
      <c r="G45" s="60"/>
      <c r="H45" s="35" t="s">
        <v>105</v>
      </c>
      <c r="I45" s="108"/>
      <c r="J45" s="35" t="s">
        <v>105</v>
      </c>
      <c r="K45" s="81"/>
      <c r="M45" s="35" t="s">
        <v>105</v>
      </c>
      <c r="N45" s="60"/>
      <c r="O45" s="82"/>
    </row>
  </sheetData>
  <sheetProtection algorithmName="SHA-512" hashValue="687I6G6+8UOvSumD7vYQFc23L4VRNd6tcF6ByS7om+vGR28HCNfdD6bSUMDgpTgVWGJLxjKVLjWRMVDstzkYlQ==" saltValue="ozNrcOf7G6V8FgLf81Y7Kw==" spinCount="100000" sheet="1" objects="1" scenarios="1" formatCells="0" formatRows="0"/>
  <mergeCells count="20">
    <mergeCell ref="I16:I30"/>
    <mergeCell ref="I31:I45"/>
    <mergeCell ref="A17:A21"/>
    <mergeCell ref="A23:A27"/>
    <mergeCell ref="A29:A33"/>
    <mergeCell ref="A35:A39"/>
    <mergeCell ref="A41:A45"/>
    <mergeCell ref="A12:A15"/>
    <mergeCell ref="C10:C15"/>
    <mergeCell ref="E3:E15"/>
    <mergeCell ref="G3:G15"/>
    <mergeCell ref="I1:I15"/>
    <mergeCell ref="N1:N15"/>
    <mergeCell ref="O12:O15"/>
    <mergeCell ref="B5:C5"/>
    <mergeCell ref="B6:C6"/>
    <mergeCell ref="B7:C7"/>
    <mergeCell ref="B8:C8"/>
    <mergeCell ref="B9:C9"/>
    <mergeCell ref="B1:G1"/>
  </mergeCells>
  <conditionalFormatting sqref="K17:L17 K1:L5 K19:L19 K21:L21 K23:L23 K25:L25 K27:L27 K29:L29 K31:L31 K33:L33 K35:L35 K37:L37 K39:L39 K41:L41 K43:L43 K45:L1048576">
    <cfRule type="colorScale" priority="677">
      <colorScale>
        <cfvo type="num" val="1"/>
        <cfvo type="num" val="5.5"/>
        <cfvo type="num" val="10"/>
        <color rgb="FFF8696B"/>
        <color rgb="FFFFFF00"/>
        <color rgb="FF63BE7B"/>
      </colorScale>
    </cfRule>
  </conditionalFormatting>
  <conditionalFormatting sqref="O1:O5 O17 O19 O21 O23 O25 O27 O29 O31 O33 O35 O37 O39 O41 O43 O45:O1048576">
    <cfRule type="colorScale" priority="676">
      <colorScale>
        <cfvo type="num" val="1"/>
        <cfvo type="num" val="5.5"/>
        <cfvo type="num" val="10"/>
        <color rgb="FFF8696B"/>
        <color rgb="FFFFEB84"/>
        <color rgb="FF63BE7B"/>
      </colorScale>
    </cfRule>
  </conditionalFormatting>
  <pageMargins left="0.7" right="0.7" top="0.75" bottom="0.75" header="0.3" footer="0.3"/>
  <pageSetup paperSize="9" scale="15" fitToHeight="0" orientation="portrait" r:id="rId1"/>
  <ignoredErrors>
    <ignoredError sqref="C20 C18 C24 C30 C26 C32 C36 C38 C42:D42 C44:D44" formula="1"/>
  </ignoredErrors>
  <extLst>
    <ext xmlns:x14="http://schemas.microsoft.com/office/spreadsheetml/2009/9/main" uri="{78C0D931-6437-407d-A8EE-F0AAD7539E65}">
      <x14:conditionalFormattings>
        <x14:conditionalFormatting xmlns:xm="http://schemas.microsoft.com/office/excel/2006/main">
          <x14:cfRule type="cellIs" priority="621" operator="equal" id="{DAEF7F38-4C87-43DD-BD87-CFADB6F51A60}">
            <xm:f>Data!$A$29</xm:f>
            <x14:dxf>
              <fill>
                <patternFill>
                  <bgColor theme="0" tint="-0.24994659260841701"/>
                </patternFill>
              </fill>
            </x14:dxf>
          </x14:cfRule>
          <x14:cfRule type="cellIs" priority="620" operator="equal" id="{2DA3C11B-85BF-4D63-A5D3-5D423BBB0E26}">
            <xm:f>Data!$A$28</xm:f>
            <x14:dxf>
              <font>
                <color auto="1"/>
              </font>
              <fill>
                <patternFill patternType="none">
                  <bgColor auto="1"/>
                </patternFill>
              </fill>
            </x14:dxf>
          </x14:cfRule>
          <x14:cfRule type="cellIs" priority="619" operator="equal" id="{94C61388-82C5-4169-9F1C-057E4AE3B614}">
            <xm:f>Data!$A$27</xm:f>
            <x14:dxf>
              <font>
                <color theme="0"/>
              </font>
              <fill>
                <patternFill>
                  <bgColor rgb="FFFF0000"/>
                </patternFill>
              </fill>
            </x14:dxf>
          </x14:cfRule>
          <x14:cfRule type="cellIs" priority="239" operator="equal" id="{CD54F358-C4B7-467C-AB58-DA35C25CD5AD}">
            <xm:f>Data!$A$26</xm:f>
            <x14:dxf>
              <font>
                <color theme="5" tint="-0.24994659260841701"/>
              </font>
              <fill>
                <patternFill>
                  <bgColor theme="7"/>
                </patternFill>
              </fill>
            </x14:dxf>
          </x14:cfRule>
          <x14:cfRule type="cellIs" priority="238" operator="equal" id="{C648CA98-F031-4A75-A249-6FF71E42BE4D}">
            <xm:f>Data!$A$25</xm:f>
            <x14:dxf>
              <font>
                <color theme="0"/>
              </font>
              <fill>
                <patternFill>
                  <bgColor theme="9"/>
                </patternFill>
              </fill>
            </x14:dxf>
          </x14:cfRule>
          <xm:sqref>I1 C2 E2:E3 G2:G3 O6:O9 C10 I16 K16:L16 C16:C1048576 E16:E1048576 G16:G1048576 N16:N1048576 K18:L18 K20:L20 K22:L22 K24:L24 K26:L26 K28:L28 K30:L30 I31 K32:L32 K34:L34 K36:L36 K38:L38 K40:L40 K42:L42 K44:L44 I46:I1048576</xm:sqref>
        </x14:conditionalFormatting>
        <x14:conditionalFormatting xmlns:xm="http://schemas.microsoft.com/office/excel/2006/main">
          <x14:cfRule type="cellIs" priority="145" operator="equal" id="{977974FC-F0DE-41D1-B9ED-FAB51D22F64C}">
            <xm:f>Data!$A$25</xm:f>
            <x14:dxf>
              <font>
                <color theme="0"/>
              </font>
              <fill>
                <patternFill>
                  <bgColor theme="9"/>
                </patternFill>
              </fill>
            </x14:dxf>
          </x14:cfRule>
          <x14:cfRule type="cellIs" priority="144" operator="equal" id="{74753C2F-B001-4340-95C8-7EE9E414382C}">
            <xm:f>Data!$A$27</xm:f>
            <x14:dxf>
              <font>
                <color rgb="FF9C5700"/>
              </font>
              <fill>
                <patternFill>
                  <bgColor rgb="FFFFEB9C"/>
                </patternFill>
              </fill>
            </x14:dxf>
          </x14:cfRule>
          <x14:cfRule type="cellIs" priority="143" operator="equal" id="{1A34BD89-52D0-4C04-BB1C-7D6615BC011E}">
            <xm:f>Data!$A$28</xm:f>
            <x14:dxf>
              <font>
                <color rgb="FF9C0006"/>
              </font>
              <fill>
                <patternFill>
                  <bgColor rgb="FFFFC7CE"/>
                </patternFill>
              </fill>
            </x14:dxf>
          </x14:cfRule>
          <x14:cfRule type="cellIs" priority="142" operator="equal" id="{EAB1E414-12E9-4CB1-B929-B472BA9DA927}">
            <xm:f>Data!$A$29</xm:f>
            <x14:dxf>
              <fill>
                <patternFill>
                  <bgColor theme="0" tint="-0.24994659260841701"/>
                </patternFill>
              </fill>
            </x14:dxf>
          </x14:cfRule>
          <x14:cfRule type="cellIs" priority="141" operator="equal" id="{329F4EFA-7166-4C0E-99F3-DA1673A01FF0}">
            <xm:f>Data!$A$26</xm:f>
            <x14:dxf>
              <font>
                <color rgb="FF006100"/>
              </font>
              <fill>
                <patternFill>
                  <bgColor rgb="FFC6EFCE"/>
                </patternFill>
              </fill>
            </x14:dxf>
          </x14:cfRule>
          <xm:sqref>N1</xm:sqref>
        </x14:conditionalFormatting>
        <x14:conditionalFormatting xmlns:xm="http://schemas.microsoft.com/office/excel/2006/main">
          <x14:cfRule type="cellIs" priority="150" operator="equal" id="{9730EAF6-4E58-4342-9180-0C8E7B4FFFD9}">
            <xm:f>Data!$A$25</xm:f>
            <x14:dxf>
              <font>
                <color theme="0"/>
              </font>
              <fill>
                <patternFill>
                  <bgColor theme="9"/>
                </patternFill>
              </fill>
            </x14:dxf>
          </x14:cfRule>
          <x14:cfRule type="cellIs" priority="149" operator="equal" id="{DE0B1DA8-4BD6-4EA0-A3C0-A510D385A504}">
            <xm:f>Data!$A$27</xm:f>
            <x14:dxf>
              <font>
                <color rgb="FF9C5700"/>
              </font>
              <fill>
                <patternFill>
                  <bgColor rgb="FFFFEB9C"/>
                </patternFill>
              </fill>
            </x14:dxf>
          </x14:cfRule>
          <x14:cfRule type="cellIs" priority="148" operator="equal" id="{03190C2D-C50B-4157-90A4-8E24B6F89956}">
            <xm:f>Data!$A$28</xm:f>
            <x14:dxf>
              <font>
                <color rgb="FF9C0006"/>
              </font>
              <fill>
                <patternFill>
                  <bgColor rgb="FFFFC7CE"/>
                </patternFill>
              </fill>
            </x14:dxf>
          </x14:cfRule>
          <x14:cfRule type="cellIs" priority="147" operator="equal" id="{7A13DA63-97DE-42A0-A10D-AACD616B3F8F}">
            <xm:f>Data!$A$29</xm:f>
            <x14:dxf>
              <fill>
                <patternFill>
                  <bgColor theme="0" tint="-0.24994659260841701"/>
                </patternFill>
              </fill>
            </x14:dxf>
          </x14:cfRule>
          <x14:cfRule type="cellIs" priority="146" operator="equal" id="{EFD0CFA9-7B60-4441-89A0-9BC5DFFC54D4}">
            <xm:f>Data!$A$26</xm:f>
            <x14:dxf>
              <font>
                <color rgb="FF006100"/>
              </font>
              <fill>
                <patternFill>
                  <bgColor rgb="FFC6EFCE"/>
                </patternFill>
              </fill>
            </x14:dxf>
          </x14:cfRule>
          <xm:sqref>O16</xm:sqref>
        </x14:conditionalFormatting>
        <x14:conditionalFormatting xmlns:xm="http://schemas.microsoft.com/office/excel/2006/main">
          <x14:cfRule type="cellIs" priority="131" operator="equal" id="{CDCA9779-87F5-4EC2-976C-A4096BDB72E3}">
            <xm:f>Data!$A$26</xm:f>
            <x14:dxf>
              <font>
                <color rgb="FF006100"/>
              </font>
              <fill>
                <patternFill>
                  <bgColor rgb="FFC6EFCE"/>
                </patternFill>
              </fill>
            </x14:dxf>
          </x14:cfRule>
          <x14:cfRule type="cellIs" priority="134" operator="equal" id="{4A10E9D1-4FFA-4E39-85BA-241FFC5E44CA}">
            <xm:f>Data!$A$27</xm:f>
            <x14:dxf>
              <font>
                <color rgb="FF9C5700"/>
              </font>
              <fill>
                <patternFill>
                  <bgColor rgb="FFFFEB9C"/>
                </patternFill>
              </fill>
            </x14:dxf>
          </x14:cfRule>
          <x14:cfRule type="cellIs" priority="133" operator="equal" id="{47253542-5471-4AB2-99CD-2FDFB822C81B}">
            <xm:f>Data!$A$28</xm:f>
            <x14:dxf>
              <font>
                <color rgb="FF9C0006"/>
              </font>
              <fill>
                <patternFill>
                  <bgColor rgb="FFFFC7CE"/>
                </patternFill>
              </fill>
            </x14:dxf>
          </x14:cfRule>
          <x14:cfRule type="cellIs" priority="132" operator="equal" id="{C530A7D4-C322-462F-9D56-DC90D81559E0}">
            <xm:f>Data!$A$29</xm:f>
            <x14:dxf>
              <fill>
                <patternFill>
                  <bgColor theme="0" tint="-0.24994659260841701"/>
                </patternFill>
              </fill>
            </x14:dxf>
          </x14:cfRule>
          <x14:cfRule type="cellIs" priority="135" operator="equal" id="{50177FB8-9429-4887-BE26-501A3E4A8F2C}">
            <xm:f>Data!$A$25</xm:f>
            <x14:dxf>
              <font>
                <color theme="0"/>
              </font>
              <fill>
                <patternFill>
                  <bgColor theme="9"/>
                </patternFill>
              </fill>
            </x14:dxf>
          </x14:cfRule>
          <xm:sqref>O18</xm:sqref>
        </x14:conditionalFormatting>
        <x14:conditionalFormatting xmlns:xm="http://schemas.microsoft.com/office/excel/2006/main">
          <x14:cfRule type="cellIs" priority="125" operator="equal" id="{DC202FA6-2B13-4733-A30A-EC064D98BC2E}">
            <xm:f>Data!$A$25</xm:f>
            <x14:dxf>
              <font>
                <color theme="0"/>
              </font>
              <fill>
                <patternFill>
                  <bgColor theme="9"/>
                </patternFill>
              </fill>
            </x14:dxf>
          </x14:cfRule>
          <x14:cfRule type="cellIs" priority="124" operator="equal" id="{F9A37ED0-8E15-40D7-963B-F1551E030B20}">
            <xm:f>Data!$A$27</xm:f>
            <x14:dxf>
              <font>
                <color rgb="FF9C5700"/>
              </font>
              <fill>
                <patternFill>
                  <bgColor rgb="FFFFEB9C"/>
                </patternFill>
              </fill>
            </x14:dxf>
          </x14:cfRule>
          <x14:cfRule type="cellIs" priority="123" operator="equal" id="{007293D2-BE9E-4EBB-AC4E-A5FD8753B851}">
            <xm:f>Data!$A$28</xm:f>
            <x14:dxf>
              <font>
                <color rgb="FF9C0006"/>
              </font>
              <fill>
                <patternFill>
                  <bgColor rgb="FFFFC7CE"/>
                </patternFill>
              </fill>
            </x14:dxf>
          </x14:cfRule>
          <x14:cfRule type="cellIs" priority="122" operator="equal" id="{416147C0-7D56-484E-AA2A-5BF6F6F731B9}">
            <xm:f>Data!$A$29</xm:f>
            <x14:dxf>
              <fill>
                <patternFill>
                  <bgColor theme="0" tint="-0.24994659260841701"/>
                </patternFill>
              </fill>
            </x14:dxf>
          </x14:cfRule>
          <x14:cfRule type="cellIs" priority="121" operator="equal" id="{0B4C74F1-A371-4AEB-8102-33CB5A750AB0}">
            <xm:f>Data!$A$26</xm:f>
            <x14:dxf>
              <font>
                <color rgb="FF006100"/>
              </font>
              <fill>
                <patternFill>
                  <bgColor rgb="FFC6EFCE"/>
                </patternFill>
              </fill>
            </x14:dxf>
          </x14:cfRule>
          <xm:sqref>O20</xm:sqref>
        </x14:conditionalFormatting>
        <x14:conditionalFormatting xmlns:xm="http://schemas.microsoft.com/office/excel/2006/main">
          <x14:cfRule type="cellIs" priority="112" operator="equal" id="{F631E50B-7555-4BD9-A029-A23FB892CBD6}">
            <xm:f>Data!$A$29</xm:f>
            <x14:dxf>
              <fill>
                <patternFill>
                  <bgColor theme="0" tint="-0.24994659260841701"/>
                </patternFill>
              </fill>
            </x14:dxf>
          </x14:cfRule>
          <x14:cfRule type="cellIs" priority="114" operator="equal" id="{FB227CCC-F9ED-4535-BABA-60487581243A}">
            <xm:f>Data!$A$27</xm:f>
            <x14:dxf>
              <font>
                <color rgb="FF9C5700"/>
              </font>
              <fill>
                <patternFill>
                  <bgColor rgb="FFFFEB9C"/>
                </patternFill>
              </fill>
            </x14:dxf>
          </x14:cfRule>
          <x14:cfRule type="cellIs" priority="113" operator="equal" id="{9F51F60A-7700-4C2E-AD40-9BF1ED3CD139}">
            <xm:f>Data!$A$28</xm:f>
            <x14:dxf>
              <font>
                <color rgb="FF9C0006"/>
              </font>
              <fill>
                <patternFill>
                  <bgColor rgb="FFFFC7CE"/>
                </patternFill>
              </fill>
            </x14:dxf>
          </x14:cfRule>
          <x14:cfRule type="cellIs" priority="115" operator="equal" id="{38FDC284-9268-4087-A0A6-082A99CE6717}">
            <xm:f>Data!$A$25</xm:f>
            <x14:dxf>
              <font>
                <color theme="0"/>
              </font>
              <fill>
                <patternFill>
                  <bgColor theme="9"/>
                </patternFill>
              </fill>
            </x14:dxf>
          </x14:cfRule>
          <x14:cfRule type="cellIs" priority="111" operator="equal" id="{A995A8B8-EC08-4FDE-BBE2-FB85241BFC3E}">
            <xm:f>Data!$A$26</xm:f>
            <x14:dxf>
              <font>
                <color rgb="FF006100"/>
              </font>
              <fill>
                <patternFill>
                  <bgColor rgb="FFC6EFCE"/>
                </patternFill>
              </fill>
            </x14:dxf>
          </x14:cfRule>
          <xm:sqref>O22</xm:sqref>
        </x14:conditionalFormatting>
        <x14:conditionalFormatting xmlns:xm="http://schemas.microsoft.com/office/excel/2006/main">
          <x14:cfRule type="cellIs" priority="105" operator="equal" id="{0F0EC6F7-E398-4372-AC8B-0D907B6D4388}">
            <xm:f>Data!$A$25</xm:f>
            <x14:dxf>
              <font>
                <color theme="0"/>
              </font>
              <fill>
                <patternFill>
                  <bgColor theme="9"/>
                </patternFill>
              </fill>
            </x14:dxf>
          </x14:cfRule>
          <x14:cfRule type="cellIs" priority="104" operator="equal" id="{574411CE-F1C9-4DEF-A007-6D8C7D382DDD}">
            <xm:f>Data!$A$27</xm:f>
            <x14:dxf>
              <font>
                <color rgb="FF9C5700"/>
              </font>
              <fill>
                <patternFill>
                  <bgColor rgb="FFFFEB9C"/>
                </patternFill>
              </fill>
            </x14:dxf>
          </x14:cfRule>
          <x14:cfRule type="cellIs" priority="103" operator="equal" id="{010C2C5B-A4E4-4EDB-9310-2AC93173F1C6}">
            <xm:f>Data!$A$28</xm:f>
            <x14:dxf>
              <font>
                <color rgb="FF9C0006"/>
              </font>
              <fill>
                <patternFill>
                  <bgColor rgb="FFFFC7CE"/>
                </patternFill>
              </fill>
            </x14:dxf>
          </x14:cfRule>
          <x14:cfRule type="cellIs" priority="102" operator="equal" id="{C14353C5-451B-4BBD-9BC1-72863183B150}">
            <xm:f>Data!$A$29</xm:f>
            <x14:dxf>
              <fill>
                <patternFill>
                  <bgColor theme="0" tint="-0.24994659260841701"/>
                </patternFill>
              </fill>
            </x14:dxf>
          </x14:cfRule>
          <x14:cfRule type="cellIs" priority="101" operator="equal" id="{B8BAE474-C964-4680-B794-BA474BF46B7A}">
            <xm:f>Data!$A$26</xm:f>
            <x14:dxf>
              <font>
                <color rgb="FF006100"/>
              </font>
              <fill>
                <patternFill>
                  <bgColor rgb="FFC6EFCE"/>
                </patternFill>
              </fill>
            </x14:dxf>
          </x14:cfRule>
          <xm:sqref>O24</xm:sqref>
        </x14:conditionalFormatting>
        <x14:conditionalFormatting xmlns:xm="http://schemas.microsoft.com/office/excel/2006/main">
          <x14:cfRule type="cellIs" priority="95" operator="equal" id="{C6036414-7EA9-4C5D-BFFF-229F4EAB0339}">
            <xm:f>Data!$A$25</xm:f>
            <x14:dxf>
              <font>
                <color theme="0"/>
              </font>
              <fill>
                <patternFill>
                  <bgColor theme="9"/>
                </patternFill>
              </fill>
            </x14:dxf>
          </x14:cfRule>
          <x14:cfRule type="cellIs" priority="94" operator="equal" id="{C23C1D47-80A8-4957-A044-28F1F39881C7}">
            <xm:f>Data!$A$27</xm:f>
            <x14:dxf>
              <font>
                <color rgb="FF9C5700"/>
              </font>
              <fill>
                <patternFill>
                  <bgColor rgb="FFFFEB9C"/>
                </patternFill>
              </fill>
            </x14:dxf>
          </x14:cfRule>
          <x14:cfRule type="cellIs" priority="93" operator="equal" id="{8CDB2042-483C-4DBA-BB4E-9B7A46707A87}">
            <xm:f>Data!$A$28</xm:f>
            <x14:dxf>
              <font>
                <color rgb="FF9C0006"/>
              </font>
              <fill>
                <patternFill>
                  <bgColor rgb="FFFFC7CE"/>
                </patternFill>
              </fill>
            </x14:dxf>
          </x14:cfRule>
          <x14:cfRule type="cellIs" priority="92" operator="equal" id="{18EEEE55-15C6-42CC-A39B-AD59DABE781E}">
            <xm:f>Data!$A$29</xm:f>
            <x14:dxf>
              <fill>
                <patternFill>
                  <bgColor theme="0" tint="-0.24994659260841701"/>
                </patternFill>
              </fill>
            </x14:dxf>
          </x14:cfRule>
          <x14:cfRule type="cellIs" priority="91" operator="equal" id="{262B2C38-3DCE-49D0-9A12-CCC9A944D386}">
            <xm:f>Data!$A$26</xm:f>
            <x14:dxf>
              <font>
                <color rgb="FF006100"/>
              </font>
              <fill>
                <patternFill>
                  <bgColor rgb="FFC6EFCE"/>
                </patternFill>
              </fill>
            </x14:dxf>
          </x14:cfRule>
          <xm:sqref>O26</xm:sqref>
        </x14:conditionalFormatting>
        <x14:conditionalFormatting xmlns:xm="http://schemas.microsoft.com/office/excel/2006/main">
          <x14:cfRule type="cellIs" priority="84" operator="equal" id="{7E0014E3-BE82-420E-BCE0-7B932251CE42}">
            <xm:f>Data!$A$27</xm:f>
            <x14:dxf>
              <font>
                <color rgb="FF9C5700"/>
              </font>
              <fill>
                <patternFill>
                  <bgColor rgb="FFFFEB9C"/>
                </patternFill>
              </fill>
            </x14:dxf>
          </x14:cfRule>
          <x14:cfRule type="cellIs" priority="83" operator="equal" id="{FB9ABC13-284C-4DD2-A6E9-BE4A1074B1CC}">
            <xm:f>Data!$A$28</xm:f>
            <x14:dxf>
              <font>
                <color rgb="FF9C0006"/>
              </font>
              <fill>
                <patternFill>
                  <bgColor rgb="FFFFC7CE"/>
                </patternFill>
              </fill>
            </x14:dxf>
          </x14:cfRule>
          <x14:cfRule type="cellIs" priority="85" operator="equal" id="{3E3DC9B6-3AB4-42AE-9689-A1459AF9D8B5}">
            <xm:f>Data!$A$25</xm:f>
            <x14:dxf>
              <font>
                <color theme="0"/>
              </font>
              <fill>
                <patternFill>
                  <bgColor theme="9"/>
                </patternFill>
              </fill>
            </x14:dxf>
          </x14:cfRule>
          <x14:cfRule type="cellIs" priority="82" operator="equal" id="{716FE652-7624-45C8-931E-6005834CD354}">
            <xm:f>Data!$A$29</xm:f>
            <x14:dxf>
              <fill>
                <patternFill>
                  <bgColor theme="0" tint="-0.24994659260841701"/>
                </patternFill>
              </fill>
            </x14:dxf>
          </x14:cfRule>
          <x14:cfRule type="cellIs" priority="81" operator="equal" id="{E8217C45-A1AA-4A8A-8F5A-0B9158A8D729}">
            <xm:f>Data!$A$26</xm:f>
            <x14:dxf>
              <font>
                <color rgb="FF006100"/>
              </font>
              <fill>
                <patternFill>
                  <bgColor rgb="FFC6EFCE"/>
                </patternFill>
              </fill>
            </x14:dxf>
          </x14:cfRule>
          <xm:sqref>O28</xm:sqref>
        </x14:conditionalFormatting>
        <x14:conditionalFormatting xmlns:xm="http://schemas.microsoft.com/office/excel/2006/main">
          <x14:cfRule type="cellIs" priority="75" operator="equal" id="{3ED1B8EE-FCAC-497D-B4F7-53D1C82FB344}">
            <xm:f>Data!$A$25</xm:f>
            <x14:dxf>
              <font>
                <color theme="0"/>
              </font>
              <fill>
                <patternFill>
                  <bgColor theme="9"/>
                </patternFill>
              </fill>
            </x14:dxf>
          </x14:cfRule>
          <x14:cfRule type="cellIs" priority="74" operator="equal" id="{0A33640F-6432-4F6D-95DC-FF1A8D277246}">
            <xm:f>Data!$A$27</xm:f>
            <x14:dxf>
              <font>
                <color rgb="FF9C5700"/>
              </font>
              <fill>
                <patternFill>
                  <bgColor rgb="FFFFEB9C"/>
                </patternFill>
              </fill>
            </x14:dxf>
          </x14:cfRule>
          <x14:cfRule type="cellIs" priority="73" operator="equal" id="{3B824464-2EFF-4D18-A15B-B2C5ABE9E9C1}">
            <xm:f>Data!$A$28</xm:f>
            <x14:dxf>
              <font>
                <color rgb="FF9C0006"/>
              </font>
              <fill>
                <patternFill>
                  <bgColor rgb="FFFFC7CE"/>
                </patternFill>
              </fill>
            </x14:dxf>
          </x14:cfRule>
          <x14:cfRule type="cellIs" priority="72" operator="equal" id="{4844B2AF-75EF-42D7-937F-9500C0A2FF76}">
            <xm:f>Data!$A$29</xm:f>
            <x14:dxf>
              <fill>
                <patternFill>
                  <bgColor theme="0" tint="-0.24994659260841701"/>
                </patternFill>
              </fill>
            </x14:dxf>
          </x14:cfRule>
          <x14:cfRule type="cellIs" priority="71" operator="equal" id="{F30C7BDE-49EA-4483-B989-A4A8A8D84CD0}">
            <xm:f>Data!$A$26</xm:f>
            <x14:dxf>
              <font>
                <color rgb="FF006100"/>
              </font>
              <fill>
                <patternFill>
                  <bgColor rgb="FFC6EFCE"/>
                </patternFill>
              </fill>
            </x14:dxf>
          </x14:cfRule>
          <xm:sqref>O30</xm:sqref>
        </x14:conditionalFormatting>
        <x14:conditionalFormatting xmlns:xm="http://schemas.microsoft.com/office/excel/2006/main">
          <x14:cfRule type="cellIs" priority="65" operator="equal" id="{89663A5E-B6DA-41CF-AD0A-4C23F4375DFE}">
            <xm:f>Data!$A$25</xm:f>
            <x14:dxf>
              <font>
                <color theme="0"/>
              </font>
              <fill>
                <patternFill>
                  <bgColor theme="9"/>
                </patternFill>
              </fill>
            </x14:dxf>
          </x14:cfRule>
          <x14:cfRule type="cellIs" priority="64" operator="equal" id="{D50F19B8-E5D9-4943-BC33-2F134DD0BB26}">
            <xm:f>Data!$A$27</xm:f>
            <x14:dxf>
              <font>
                <color rgb="FF9C5700"/>
              </font>
              <fill>
                <patternFill>
                  <bgColor rgb="FFFFEB9C"/>
                </patternFill>
              </fill>
            </x14:dxf>
          </x14:cfRule>
          <x14:cfRule type="cellIs" priority="63" operator="equal" id="{D7A54646-E4FB-41AA-9ABE-3D6EFFD479A3}">
            <xm:f>Data!$A$28</xm:f>
            <x14:dxf>
              <font>
                <color rgb="FF9C0006"/>
              </font>
              <fill>
                <patternFill>
                  <bgColor rgb="FFFFC7CE"/>
                </patternFill>
              </fill>
            </x14:dxf>
          </x14:cfRule>
          <x14:cfRule type="cellIs" priority="62" operator="equal" id="{F163441F-4D48-4BDC-BB4F-87569B73CB60}">
            <xm:f>Data!$A$29</xm:f>
            <x14:dxf>
              <fill>
                <patternFill>
                  <bgColor theme="0" tint="-0.24994659260841701"/>
                </patternFill>
              </fill>
            </x14:dxf>
          </x14:cfRule>
          <x14:cfRule type="cellIs" priority="61" operator="equal" id="{FA7E651B-10ED-4A2C-B8AE-F086EF7E3FCB}">
            <xm:f>Data!$A$26</xm:f>
            <x14:dxf>
              <font>
                <color rgb="FF006100"/>
              </font>
              <fill>
                <patternFill>
                  <bgColor rgb="FFC6EFCE"/>
                </patternFill>
              </fill>
            </x14:dxf>
          </x14:cfRule>
          <xm:sqref>O32</xm:sqref>
        </x14:conditionalFormatting>
        <x14:conditionalFormatting xmlns:xm="http://schemas.microsoft.com/office/excel/2006/main">
          <x14:cfRule type="cellIs" priority="55" operator="equal" id="{0D00F5DE-99CC-4033-ADE1-F3E55C1A43CA}">
            <xm:f>Data!$A$25</xm:f>
            <x14:dxf>
              <font>
                <color theme="0"/>
              </font>
              <fill>
                <patternFill>
                  <bgColor theme="9"/>
                </patternFill>
              </fill>
            </x14:dxf>
          </x14:cfRule>
          <x14:cfRule type="cellIs" priority="54" operator="equal" id="{105A6F28-DE53-4277-9337-7C31577EF09E}">
            <xm:f>Data!$A$27</xm:f>
            <x14:dxf>
              <font>
                <color rgb="FF9C5700"/>
              </font>
              <fill>
                <patternFill>
                  <bgColor rgb="FFFFEB9C"/>
                </patternFill>
              </fill>
            </x14:dxf>
          </x14:cfRule>
          <x14:cfRule type="cellIs" priority="53" operator="equal" id="{44E4328F-7029-4C22-88A4-82EF233ED026}">
            <xm:f>Data!$A$28</xm:f>
            <x14:dxf>
              <font>
                <color rgb="FF9C0006"/>
              </font>
              <fill>
                <patternFill>
                  <bgColor rgb="FFFFC7CE"/>
                </patternFill>
              </fill>
            </x14:dxf>
          </x14:cfRule>
          <x14:cfRule type="cellIs" priority="52" operator="equal" id="{D176D676-05F7-446F-907B-3EA1E1EDE1E3}">
            <xm:f>Data!$A$29</xm:f>
            <x14:dxf>
              <fill>
                <patternFill>
                  <bgColor theme="0" tint="-0.24994659260841701"/>
                </patternFill>
              </fill>
            </x14:dxf>
          </x14:cfRule>
          <x14:cfRule type="cellIs" priority="51" operator="equal" id="{DAE40E2F-A930-4665-A2F4-E42CF8231A71}">
            <xm:f>Data!$A$26</xm:f>
            <x14:dxf>
              <font>
                <color rgb="FF006100"/>
              </font>
              <fill>
                <patternFill>
                  <bgColor rgb="FFC6EFCE"/>
                </patternFill>
              </fill>
            </x14:dxf>
          </x14:cfRule>
          <xm:sqref>O34</xm:sqref>
        </x14:conditionalFormatting>
        <x14:conditionalFormatting xmlns:xm="http://schemas.microsoft.com/office/excel/2006/main">
          <x14:cfRule type="cellIs" priority="42" operator="equal" id="{33218528-B08C-493A-BE1D-ED12AF4DD9F6}">
            <xm:f>Data!$A$29</xm:f>
            <x14:dxf>
              <fill>
                <patternFill>
                  <bgColor theme="0" tint="-0.24994659260841701"/>
                </patternFill>
              </fill>
            </x14:dxf>
          </x14:cfRule>
          <x14:cfRule type="cellIs" priority="44" operator="equal" id="{97E8794C-2D1A-4BFD-AB28-5F08560820A6}">
            <xm:f>Data!$A$27</xm:f>
            <x14:dxf>
              <font>
                <color rgb="FF9C5700"/>
              </font>
              <fill>
                <patternFill>
                  <bgColor rgb="FFFFEB9C"/>
                </patternFill>
              </fill>
            </x14:dxf>
          </x14:cfRule>
          <x14:cfRule type="cellIs" priority="43" operator="equal" id="{2B6A630D-EDCD-4F05-A6CF-BDFA207A8177}">
            <xm:f>Data!$A$28</xm:f>
            <x14:dxf>
              <font>
                <color rgb="FF9C0006"/>
              </font>
              <fill>
                <patternFill>
                  <bgColor rgb="FFFFC7CE"/>
                </patternFill>
              </fill>
            </x14:dxf>
          </x14:cfRule>
          <x14:cfRule type="cellIs" priority="45" operator="equal" id="{7787C337-28E9-42E1-B6D5-E3F18A9C4DCE}">
            <xm:f>Data!$A$25</xm:f>
            <x14:dxf>
              <font>
                <color theme="0"/>
              </font>
              <fill>
                <patternFill>
                  <bgColor theme="9"/>
                </patternFill>
              </fill>
            </x14:dxf>
          </x14:cfRule>
          <x14:cfRule type="cellIs" priority="41" operator="equal" id="{888BDCF5-0B45-4329-8C3E-0F655020988D}">
            <xm:f>Data!$A$26</xm:f>
            <x14:dxf>
              <font>
                <color rgb="FF006100"/>
              </font>
              <fill>
                <patternFill>
                  <bgColor rgb="FFC6EFCE"/>
                </patternFill>
              </fill>
            </x14:dxf>
          </x14:cfRule>
          <xm:sqref>O36</xm:sqref>
        </x14:conditionalFormatting>
        <x14:conditionalFormatting xmlns:xm="http://schemas.microsoft.com/office/excel/2006/main">
          <x14:cfRule type="cellIs" priority="35" operator="equal" id="{2C6C8B2A-F848-45F8-A1FD-9ED761C20674}">
            <xm:f>Data!$A$25</xm:f>
            <x14:dxf>
              <font>
                <color theme="0"/>
              </font>
              <fill>
                <patternFill>
                  <bgColor theme="9"/>
                </patternFill>
              </fill>
            </x14:dxf>
          </x14:cfRule>
          <x14:cfRule type="cellIs" priority="34" operator="equal" id="{FD043351-E610-4D90-ADC4-9EE11221DC14}">
            <xm:f>Data!$A$27</xm:f>
            <x14:dxf>
              <font>
                <color rgb="FF9C5700"/>
              </font>
              <fill>
                <patternFill>
                  <bgColor rgb="FFFFEB9C"/>
                </patternFill>
              </fill>
            </x14:dxf>
          </x14:cfRule>
          <x14:cfRule type="cellIs" priority="33" operator="equal" id="{66DCF1B7-AE8B-46C6-896E-2AFF36F861DD}">
            <xm:f>Data!$A$28</xm:f>
            <x14:dxf>
              <font>
                <color rgb="FF9C0006"/>
              </font>
              <fill>
                <patternFill>
                  <bgColor rgb="FFFFC7CE"/>
                </patternFill>
              </fill>
            </x14:dxf>
          </x14:cfRule>
          <x14:cfRule type="cellIs" priority="32" operator="equal" id="{AC043D30-F021-46B2-A7D9-5A9BE3F09552}">
            <xm:f>Data!$A$29</xm:f>
            <x14:dxf>
              <fill>
                <patternFill>
                  <bgColor theme="0" tint="-0.24994659260841701"/>
                </patternFill>
              </fill>
            </x14:dxf>
          </x14:cfRule>
          <x14:cfRule type="cellIs" priority="31" operator="equal" id="{1273A53B-23F5-4988-9F49-F44B0C2070E6}">
            <xm:f>Data!$A$26</xm:f>
            <x14:dxf>
              <font>
                <color rgb="FF006100"/>
              </font>
              <fill>
                <patternFill>
                  <bgColor rgb="FFC6EFCE"/>
                </patternFill>
              </fill>
            </x14:dxf>
          </x14:cfRule>
          <xm:sqref>O38</xm:sqref>
        </x14:conditionalFormatting>
        <x14:conditionalFormatting xmlns:xm="http://schemas.microsoft.com/office/excel/2006/main">
          <x14:cfRule type="cellIs" priority="22" operator="equal" id="{8F177E89-CCDC-4305-BF9D-5C7B88307754}">
            <xm:f>Data!$A$29</xm:f>
            <x14:dxf>
              <fill>
                <patternFill>
                  <bgColor theme="0" tint="-0.24994659260841701"/>
                </patternFill>
              </fill>
            </x14:dxf>
          </x14:cfRule>
          <x14:cfRule type="cellIs" priority="24" operator="equal" id="{6BB03D97-A824-4677-B022-23A40A182604}">
            <xm:f>Data!$A$27</xm:f>
            <x14:dxf>
              <font>
                <color rgb="FF9C5700"/>
              </font>
              <fill>
                <patternFill>
                  <bgColor rgb="FFFFEB9C"/>
                </patternFill>
              </fill>
            </x14:dxf>
          </x14:cfRule>
          <x14:cfRule type="cellIs" priority="23" operator="equal" id="{C8B1E712-F974-4683-9337-90C4A4974F85}">
            <xm:f>Data!$A$28</xm:f>
            <x14:dxf>
              <font>
                <color rgb="FF9C0006"/>
              </font>
              <fill>
                <patternFill>
                  <bgColor rgb="FFFFC7CE"/>
                </patternFill>
              </fill>
            </x14:dxf>
          </x14:cfRule>
          <x14:cfRule type="cellIs" priority="25" operator="equal" id="{F6801AAB-CF94-4930-BD7B-CB69C79A5FF7}">
            <xm:f>Data!$A$25</xm:f>
            <x14:dxf>
              <font>
                <color theme="0"/>
              </font>
              <fill>
                <patternFill>
                  <bgColor theme="9"/>
                </patternFill>
              </fill>
            </x14:dxf>
          </x14:cfRule>
          <x14:cfRule type="cellIs" priority="21" operator="equal" id="{8990A647-E8E2-4130-A00E-0A6F77D924A5}">
            <xm:f>Data!$A$26</xm:f>
            <x14:dxf>
              <font>
                <color rgb="FF006100"/>
              </font>
              <fill>
                <patternFill>
                  <bgColor rgb="FFC6EFCE"/>
                </patternFill>
              </fill>
            </x14:dxf>
          </x14:cfRule>
          <xm:sqref>O40</xm:sqref>
        </x14:conditionalFormatting>
        <x14:conditionalFormatting xmlns:xm="http://schemas.microsoft.com/office/excel/2006/main">
          <x14:cfRule type="cellIs" priority="15" operator="equal" id="{D5BC9776-F4C1-4ACF-B635-30D1C303F215}">
            <xm:f>Data!$A$25</xm:f>
            <x14:dxf>
              <font>
                <color theme="0"/>
              </font>
              <fill>
                <patternFill>
                  <bgColor theme="9"/>
                </patternFill>
              </fill>
            </x14:dxf>
          </x14:cfRule>
          <x14:cfRule type="cellIs" priority="14" operator="equal" id="{64DE456A-575D-46D9-96C6-B8E4AB86F86D}">
            <xm:f>Data!$A$27</xm:f>
            <x14:dxf>
              <font>
                <color rgb="FF9C5700"/>
              </font>
              <fill>
                <patternFill>
                  <bgColor rgb="FFFFEB9C"/>
                </patternFill>
              </fill>
            </x14:dxf>
          </x14:cfRule>
          <x14:cfRule type="cellIs" priority="13" operator="equal" id="{FEE5C607-A1C2-439E-B345-E6DC3F286B21}">
            <xm:f>Data!$A$28</xm:f>
            <x14:dxf>
              <font>
                <color rgb="FF9C0006"/>
              </font>
              <fill>
                <patternFill>
                  <bgColor rgb="FFFFC7CE"/>
                </patternFill>
              </fill>
            </x14:dxf>
          </x14:cfRule>
          <x14:cfRule type="cellIs" priority="12" operator="equal" id="{DCCA8CC5-CB05-411F-86BF-6884AB880C65}">
            <xm:f>Data!$A$29</xm:f>
            <x14:dxf>
              <fill>
                <patternFill>
                  <bgColor theme="0" tint="-0.24994659260841701"/>
                </patternFill>
              </fill>
            </x14:dxf>
          </x14:cfRule>
          <x14:cfRule type="cellIs" priority="11" operator="equal" id="{AF61935D-B5DD-4DA6-AF1C-C6376E876D4A}">
            <xm:f>Data!$A$26</xm:f>
            <x14:dxf>
              <font>
                <color rgb="FF006100"/>
              </font>
              <fill>
                <patternFill>
                  <bgColor rgb="FFC6EFCE"/>
                </patternFill>
              </fill>
            </x14:dxf>
          </x14:cfRule>
          <xm:sqref>O42</xm:sqref>
        </x14:conditionalFormatting>
        <x14:conditionalFormatting xmlns:xm="http://schemas.microsoft.com/office/excel/2006/main">
          <x14:cfRule type="cellIs" priority="5" operator="equal" id="{A66C2E4F-ED7A-46CB-8FF6-BF110A752E23}">
            <xm:f>Data!$A$25</xm:f>
            <x14:dxf>
              <font>
                <color theme="0"/>
              </font>
              <fill>
                <patternFill>
                  <bgColor theme="9"/>
                </patternFill>
              </fill>
            </x14:dxf>
          </x14:cfRule>
          <x14:cfRule type="cellIs" priority="4" operator="equal" id="{6516E366-CA4E-4E54-87F8-0732211B62DA}">
            <xm:f>Data!$A$27</xm:f>
            <x14:dxf>
              <font>
                <color rgb="FF9C5700"/>
              </font>
              <fill>
                <patternFill>
                  <bgColor rgb="FFFFEB9C"/>
                </patternFill>
              </fill>
            </x14:dxf>
          </x14:cfRule>
          <x14:cfRule type="cellIs" priority="3" operator="equal" id="{02B39C22-4C95-45EE-B478-AA9AF9FE17B5}">
            <xm:f>Data!$A$28</xm:f>
            <x14:dxf>
              <font>
                <color rgb="FF9C0006"/>
              </font>
              <fill>
                <patternFill>
                  <bgColor rgb="FFFFC7CE"/>
                </patternFill>
              </fill>
            </x14:dxf>
          </x14:cfRule>
          <x14:cfRule type="cellIs" priority="2" operator="equal" id="{56C2679A-60DC-4CFB-BAF5-A0D6AE95F33B}">
            <xm:f>Data!$A$29</xm:f>
            <x14:dxf>
              <fill>
                <patternFill>
                  <bgColor theme="0" tint="-0.24994659260841701"/>
                </patternFill>
              </fill>
            </x14:dxf>
          </x14:cfRule>
          <x14:cfRule type="cellIs" priority="1" operator="equal" id="{F8B00C0B-7B21-49E0-8BF9-F1720F947A9F}">
            <xm:f>Data!$A$26</xm:f>
            <x14:dxf>
              <font>
                <color rgb="FF006100"/>
              </font>
              <fill>
                <patternFill>
                  <bgColor rgb="FFC6EFCE"/>
                </patternFill>
              </fill>
            </x14:dxf>
          </x14:cfRule>
          <xm:sqref>O44</xm:sqref>
        </x14:conditionalFormatting>
      </x14:conditionalFormattings>
    </ext>
    <ext xmlns:x14="http://schemas.microsoft.com/office/spreadsheetml/2009/9/main" uri="{CCE6A557-97BC-4b89-ADB6-D9C93CAAB3DF}">
      <x14:dataValidations xmlns:xm="http://schemas.microsoft.com/office/excel/2006/main" count="2">
        <x14:dataValidation type="list" allowBlank="1" showInputMessage="1" xr:uid="{757B567F-CBA7-401E-AD75-121C7629D8D2}">
          <x14:formula1>
            <xm:f>Data!$C$32:$C$41</xm:f>
          </x14:formula1>
          <xm:sqref>O45:O1048576 O1:O5 O19 O21 O43 O25 O27 O31 O33 O37 O39 K21 K19 K37 K33 K45:K1048576 K43 K31 K27 K39 K25</xm:sqref>
        </x14:dataValidation>
        <x14:dataValidation type="list" allowBlank="1" showInputMessage="1" showErrorMessage="1" xr:uid="{BFA414FF-0F0F-4125-AC47-1C0EC08CFC2B}">
          <x14:formula1>
            <xm:f>IF(TAAL="Engels", Data!$B$25:$B$29, Data!$A$25:$A$29)</xm:f>
          </x14:formula1>
          <xm:sqref>C45 C43 C39 C37 C33 C31 C27 C25 C21 C19 E45 E43 E39 E37 E33 E31 E27 E25 E21 E19 G43 G39 G37 G33 G31 G27 G25 G21 G19 N19 N45 N43 N39 N37 N33 N31 N27 N25 N21 G45</xm:sqref>
        </x14:dataValidation>
      </x14:dataValidations>
    </ext>
  </extLst>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5FA7DBCD-7C52-473C-9211-65E9ABDB4BC3}">
  <sheetPr>
    <tabColor rgb="FF00B050"/>
    <pageSetUpPr fitToPage="1"/>
  </sheetPr>
  <dimension ref="A1:M35"/>
  <sheetViews>
    <sheetView zoomScaleNormal="100" workbookViewId="0">
      <pane ySplit="9" topLeftCell="A10" activePane="bottomLeft" state="frozen"/>
      <selection pane="bottomLeft" activeCell="E24" sqref="E24"/>
    </sheetView>
  </sheetViews>
  <sheetFormatPr baseColWidth="10" defaultColWidth="8.6640625" defaultRowHeight="15" x14ac:dyDescent="0.2"/>
  <cols>
    <col min="1" max="1" width="56" customWidth="1"/>
    <col min="2" max="2" width="15.33203125" bestFit="1" customWidth="1"/>
    <col min="3" max="3" width="13.33203125" customWidth="1"/>
    <col min="4" max="4" width="15.1640625" bestFit="1" customWidth="1"/>
    <col min="5" max="5" width="19.5" customWidth="1"/>
    <col min="6" max="6" width="2.33203125" style="22" customWidth="1"/>
    <col min="7" max="7" width="55.6640625" customWidth="1"/>
    <col min="8" max="8" width="15.33203125" bestFit="1" customWidth="1"/>
    <col min="9" max="9" width="13.6640625" bestFit="1" customWidth="1"/>
    <col min="10" max="10" width="15.1640625" bestFit="1" customWidth="1"/>
    <col min="11" max="11" width="20" customWidth="1"/>
  </cols>
  <sheetData>
    <row r="1" spans="1:11" ht="46.25" customHeight="1" thickBot="1" x14ac:dyDescent="0.25">
      <c r="A1" s="147" t="s">
        <v>73</v>
      </c>
      <c r="B1" s="148"/>
      <c r="C1" s="148"/>
      <c r="D1" s="148"/>
      <c r="E1" s="17" t="s">
        <v>74</v>
      </c>
      <c r="F1" s="18"/>
      <c r="G1" s="147" t="s">
        <v>73</v>
      </c>
      <c r="H1" s="148"/>
      <c r="I1" s="148"/>
      <c r="J1" s="148"/>
      <c r="K1" s="17" t="s">
        <v>74</v>
      </c>
    </row>
    <row r="2" spans="1:11" x14ac:dyDescent="0.2">
      <c r="A2" s="11">
        <f>Data!B3</f>
        <v>0</v>
      </c>
      <c r="B2" s="149" t="str">
        <f>Data!B5</f>
        <v>najaar 2024</v>
      </c>
      <c r="C2" s="149"/>
      <c r="D2" s="149"/>
      <c r="E2" s="19"/>
      <c r="F2" s="20"/>
      <c r="G2" s="11">
        <f>Data!B3</f>
        <v>0</v>
      </c>
      <c r="H2" s="149" t="str">
        <f>Data!B5</f>
        <v>najaar 2024</v>
      </c>
      <c r="I2" s="149"/>
      <c r="J2" s="149"/>
      <c r="K2" s="19"/>
    </row>
    <row r="3" spans="1:11" ht="21" x14ac:dyDescent="0.25">
      <c r="A3" s="11" t="s">
        <v>53</v>
      </c>
      <c r="B3" s="150" t="str">
        <f>Data!B6</f>
        <v>Student 1</v>
      </c>
      <c r="C3" s="150"/>
      <c r="D3" s="150"/>
      <c r="E3" s="21" t="str">
        <f>Data!B7</f>
        <v>nummer 1</v>
      </c>
      <c r="G3" s="11" t="s">
        <v>75</v>
      </c>
      <c r="H3" s="150" t="str">
        <f>Data!B8</f>
        <v>Student 2</v>
      </c>
      <c r="I3" s="150"/>
      <c r="J3" s="150"/>
      <c r="K3" s="21" t="str">
        <f>Data!B9</f>
        <v>nummer 2</v>
      </c>
    </row>
    <row r="4" spans="1:11" x14ac:dyDescent="0.2">
      <c r="A4" s="11" t="s">
        <v>54</v>
      </c>
      <c r="B4" s="144" t="str">
        <f>Data!B12</f>
        <v>opdr titel</v>
      </c>
      <c r="C4" s="144"/>
      <c r="D4" s="144"/>
      <c r="E4" s="23"/>
      <c r="G4" s="11" t="s">
        <v>54</v>
      </c>
      <c r="H4" s="144" t="str">
        <f>Data!B12</f>
        <v>opdr titel</v>
      </c>
      <c r="I4" s="144"/>
      <c r="J4" s="144"/>
      <c r="K4" s="23"/>
    </row>
    <row r="5" spans="1:11" x14ac:dyDescent="0.2">
      <c r="A5" s="11" t="s">
        <v>55</v>
      </c>
      <c r="B5" s="144" t="str">
        <f>Data!B11</f>
        <v>begeleider bedrijf</v>
      </c>
      <c r="C5" s="144"/>
      <c r="D5" s="144"/>
      <c r="E5" s="23"/>
      <c r="G5" s="11" t="s">
        <v>55</v>
      </c>
      <c r="H5" s="144" t="str">
        <f>Data!B11</f>
        <v>begeleider bedrijf</v>
      </c>
      <c r="I5" s="144"/>
      <c r="J5" s="144"/>
      <c r="K5" s="23"/>
    </row>
    <row r="6" spans="1:11" x14ac:dyDescent="0.2">
      <c r="A6" s="11" t="s">
        <v>56</v>
      </c>
      <c r="B6" s="144" t="str">
        <f>Data!B13</f>
        <v>docent 1</v>
      </c>
      <c r="C6" s="144"/>
      <c r="D6" s="144"/>
      <c r="E6" s="23"/>
      <c r="G6" s="11" t="s">
        <v>56</v>
      </c>
      <c r="H6" s="144" t="str">
        <f>Data!B13</f>
        <v>docent 1</v>
      </c>
      <c r="I6" s="144"/>
      <c r="J6" s="144"/>
      <c r="K6" s="23"/>
    </row>
    <row r="7" spans="1:11" x14ac:dyDescent="0.2">
      <c r="A7" s="11" t="s">
        <v>57</v>
      </c>
      <c r="B7" s="144" t="str">
        <f>Data!B14</f>
        <v>docent 2</v>
      </c>
      <c r="C7" s="144"/>
      <c r="D7" s="144"/>
      <c r="E7" s="23"/>
      <c r="G7" s="11" t="s">
        <v>57</v>
      </c>
      <c r="H7" s="144" t="str">
        <f>Data!B14</f>
        <v>docent 2</v>
      </c>
      <c r="I7" s="144"/>
      <c r="J7" s="144"/>
      <c r="K7" s="23"/>
    </row>
    <row r="8" spans="1:11" x14ac:dyDescent="0.2">
      <c r="A8" s="11" t="s">
        <v>58</v>
      </c>
      <c r="B8" s="144" t="str">
        <f>Data!B15</f>
        <v>externe</v>
      </c>
      <c r="C8" s="144"/>
      <c r="D8" s="144"/>
      <c r="E8" s="23"/>
      <c r="G8" s="11" t="s">
        <v>58</v>
      </c>
      <c r="H8" s="144" t="str">
        <f>Data!B15</f>
        <v>externe</v>
      </c>
      <c r="I8" s="144"/>
      <c r="J8" s="144"/>
      <c r="K8" s="23"/>
    </row>
    <row r="9" spans="1:11" x14ac:dyDescent="0.2">
      <c r="A9" s="11" t="s">
        <v>76</v>
      </c>
      <c r="B9" s="145"/>
      <c r="C9" s="145"/>
      <c r="D9" s="145"/>
      <c r="E9" s="23"/>
      <c r="G9" s="11" t="s">
        <v>76</v>
      </c>
      <c r="H9" s="146"/>
      <c r="I9" s="146"/>
      <c r="J9" s="146"/>
      <c r="K9" s="23"/>
    </row>
    <row r="10" spans="1:11" ht="19" x14ac:dyDescent="0.2">
      <c r="A10" s="123" t="str">
        <f>IF(TAAL="Engels", Data!$E$34,Data!$E$33)</f>
        <v>Bijzondere omstandigheden</v>
      </c>
      <c r="B10" s="124"/>
      <c r="C10" s="124"/>
      <c r="D10" s="124"/>
      <c r="E10" s="125"/>
      <c r="G10" s="123" t="str">
        <f>IF(TAAL="Engels", Data!$E$34,Data!$E$33)</f>
        <v>Bijzondere omstandigheden</v>
      </c>
      <c r="H10" s="124"/>
      <c r="I10" s="124"/>
      <c r="J10" s="124"/>
      <c r="K10" s="125"/>
    </row>
    <row r="11" spans="1:11" x14ac:dyDescent="0.2">
      <c r="A11" s="141" t="s">
        <v>78</v>
      </c>
      <c r="B11" s="142"/>
      <c r="C11" s="142"/>
      <c r="D11" s="142"/>
      <c r="E11" s="143"/>
      <c r="G11" s="141" t="str">
        <f>A11</f>
        <v>Spelen/speelden er bijzondere omstandigheden, waarmee rekening gehouden dient te worden tijdens de afstudeerzitting of de beoordeling?</v>
      </c>
      <c r="H11" s="142"/>
      <c r="I11" s="142"/>
      <c r="J11" s="142"/>
      <c r="K11" s="143"/>
    </row>
    <row r="12" spans="1:11" s="25" customFormat="1" ht="75.5" customHeight="1" x14ac:dyDescent="0.2">
      <c r="A12" s="138"/>
      <c r="B12" s="139"/>
      <c r="C12" s="139"/>
      <c r="D12" s="139"/>
      <c r="E12" s="140"/>
      <c r="F12" s="24"/>
      <c r="G12" s="138"/>
      <c r="H12" s="139"/>
      <c r="I12" s="139"/>
      <c r="J12" s="139"/>
      <c r="K12" s="140"/>
    </row>
    <row r="13" spans="1:11" ht="19" x14ac:dyDescent="0.2">
      <c r="A13" s="123" t="s">
        <v>69</v>
      </c>
      <c r="B13" s="124"/>
      <c r="C13" s="124"/>
      <c r="D13" s="124"/>
      <c r="E13" s="125"/>
      <c r="G13" s="123" t="s">
        <v>69</v>
      </c>
      <c r="H13" s="124"/>
      <c r="I13" s="124"/>
      <c r="J13" s="124"/>
      <c r="K13" s="125"/>
    </row>
    <row r="14" spans="1:11" ht="17.5" customHeight="1" x14ac:dyDescent="0.2">
      <c r="A14" s="135" t="s">
        <v>79</v>
      </c>
      <c r="B14" s="136"/>
      <c r="C14" s="136"/>
      <c r="D14" s="136"/>
      <c r="E14" s="137"/>
      <c r="G14" s="135" t="s">
        <v>79</v>
      </c>
      <c r="H14" s="136"/>
      <c r="I14" s="136"/>
      <c r="J14" s="136"/>
      <c r="K14" s="137"/>
    </row>
    <row r="15" spans="1:11" s="25" customFormat="1" ht="78" customHeight="1" x14ac:dyDescent="0.2">
      <c r="A15" s="138"/>
      <c r="B15" s="139"/>
      <c r="C15" s="139"/>
      <c r="D15" s="139"/>
      <c r="E15" s="140"/>
      <c r="F15" s="24"/>
      <c r="G15" s="138"/>
      <c r="H15" s="139"/>
      <c r="I15" s="139"/>
      <c r="J15" s="139"/>
      <c r="K15" s="140"/>
    </row>
    <row r="16" spans="1:11" ht="19" x14ac:dyDescent="0.2">
      <c r="A16" s="123" t="s">
        <v>80</v>
      </c>
      <c r="B16" s="124"/>
      <c r="C16" s="124"/>
      <c r="D16" s="124"/>
      <c r="E16" s="125"/>
      <c r="G16" s="123" t="s">
        <v>80</v>
      </c>
      <c r="H16" s="124"/>
      <c r="I16" s="124"/>
      <c r="J16" s="124"/>
      <c r="K16" s="125"/>
    </row>
    <row r="17" spans="1:13" ht="65" customHeight="1" x14ac:dyDescent="0.2">
      <c r="A17" s="131" t="s">
        <v>81</v>
      </c>
      <c r="B17" s="132"/>
      <c r="C17" s="83" t="s">
        <v>167</v>
      </c>
      <c r="D17" s="39" t="s">
        <v>101</v>
      </c>
      <c r="E17" s="26" t="s">
        <v>100</v>
      </c>
      <c r="F17" s="27"/>
      <c r="G17" s="131" t="s">
        <v>81</v>
      </c>
      <c r="H17" s="132"/>
      <c r="I17" s="83" t="s">
        <v>167</v>
      </c>
      <c r="J17" s="39" t="s">
        <v>101</v>
      </c>
      <c r="K17" s="26" t="s">
        <v>100</v>
      </c>
    </row>
    <row r="18" spans="1:13" x14ac:dyDescent="0.2">
      <c r="A18" s="133" t="str">
        <f>IF(TAAL="Engels", Competenties!$D$3, Competenties!$A$3)</f>
        <v>Competentie 1: 
Planmatig werken</v>
      </c>
      <c r="B18" s="134"/>
      <c r="C18" s="28">
        <f>'Feedback bedrijfsbegeleider'!I19</f>
        <v>0</v>
      </c>
      <c r="D18" s="28">
        <f>'Feedback docent'!K19</f>
        <v>0</v>
      </c>
      <c r="E18" s="79">
        <f>D18</f>
        <v>0</v>
      </c>
      <c r="F18" s="29"/>
      <c r="G18" s="133" t="str">
        <f>IF(TAAL="Engels", Competenties!$D$3, Competenties!$A$3)</f>
        <v>Competentie 1: 
Planmatig werken</v>
      </c>
      <c r="H18" s="134"/>
      <c r="I18" s="28">
        <f>'Feedback bedrijfsbegeleider'!I21</f>
        <v>0</v>
      </c>
      <c r="J18" s="28">
        <f>'Feedback docent'!K21</f>
        <v>0</v>
      </c>
      <c r="K18" s="79">
        <f>J18</f>
        <v>0</v>
      </c>
    </row>
    <row r="19" spans="1:13" x14ac:dyDescent="0.2">
      <c r="A19" s="133" t="str">
        <f>IF(TAAL="Engels", Competenties!$D$4, Competenties!$A$4)</f>
        <v>Competentie 2: 
Probleem-oplossend vermogen, leveren van beroepsprestaties</v>
      </c>
      <c r="B19" s="134"/>
      <c r="C19" s="28">
        <f>'Feedback bedrijfsbegeleider'!I25</f>
        <v>0</v>
      </c>
      <c r="D19" s="28">
        <f>'Feedback docent'!K25</f>
        <v>0</v>
      </c>
      <c r="E19" s="79">
        <f>D19</f>
        <v>0</v>
      </c>
      <c r="F19" s="29"/>
      <c r="G19" s="133" t="str">
        <f>IF(TAAL="Engels", Competenties!$D$4, Competenties!$A$4)</f>
        <v>Competentie 2: 
Probleem-oplossend vermogen, leveren van beroepsprestaties</v>
      </c>
      <c r="H19" s="134"/>
      <c r="I19" s="28">
        <f>'Feedback bedrijfsbegeleider'!I27</f>
        <v>0</v>
      </c>
      <c r="J19" s="28">
        <f>'Feedback docent'!K27</f>
        <v>0</v>
      </c>
      <c r="K19" s="79">
        <f t="shared" ref="K19:K22" si="0">J19</f>
        <v>0</v>
      </c>
    </row>
    <row r="20" spans="1:13" x14ac:dyDescent="0.2">
      <c r="A20" s="133" t="str">
        <f>IF(TAAL="Engels", Competenties!$D$5, Competenties!$A$5)</f>
        <v>Competentie 3: 
Onderzoekend vermogen</v>
      </c>
      <c r="B20" s="134"/>
      <c r="C20" s="28">
        <f>'Feedback bedrijfsbegeleider'!I31</f>
        <v>0</v>
      </c>
      <c r="D20" s="28">
        <f>'Feedback docent'!K31</f>
        <v>0</v>
      </c>
      <c r="E20" s="79">
        <f t="shared" ref="E20:E22" si="1">D20</f>
        <v>0</v>
      </c>
      <c r="F20" s="29"/>
      <c r="G20" s="133" t="str">
        <f>IF(TAAL="Engels", Competenties!$D$5, Competenties!$A$5)</f>
        <v>Competentie 3: 
Onderzoekend vermogen</v>
      </c>
      <c r="H20" s="134"/>
      <c r="I20" s="28">
        <f>'Feedback bedrijfsbegeleider'!I33</f>
        <v>0</v>
      </c>
      <c r="J20" s="28">
        <f>'Feedback docent'!K33</f>
        <v>0</v>
      </c>
      <c r="K20" s="79">
        <f t="shared" si="0"/>
        <v>0</v>
      </c>
    </row>
    <row r="21" spans="1:13" x14ac:dyDescent="0.2">
      <c r="A21" s="133" t="str">
        <f>IF(TAAL="Engels", Competenties!$D$6, Competenties!$A$6)</f>
        <v>Competentie 4: 
Samenwerken &amp; communiceren</v>
      </c>
      <c r="B21" s="134"/>
      <c r="C21" s="28">
        <f>'Feedback bedrijfsbegeleider'!I37</f>
        <v>0</v>
      </c>
      <c r="D21" s="28">
        <f>'Feedback docent'!K37</f>
        <v>0</v>
      </c>
      <c r="E21" s="79">
        <f t="shared" si="1"/>
        <v>0</v>
      </c>
      <c r="F21" s="29"/>
      <c r="G21" s="133" t="str">
        <f>IF(TAAL="Engels", Competenties!$D$6, Competenties!$A$6)</f>
        <v>Competentie 4: 
Samenwerken &amp; communiceren</v>
      </c>
      <c r="H21" s="134"/>
      <c r="I21" s="28">
        <f>'Feedback bedrijfsbegeleider'!I39</f>
        <v>0</v>
      </c>
      <c r="J21" s="28">
        <f>'Feedback docent'!K39</f>
        <v>0</v>
      </c>
      <c r="K21" s="79">
        <f t="shared" si="0"/>
        <v>0</v>
      </c>
    </row>
    <row r="22" spans="1:13" x14ac:dyDescent="0.2">
      <c r="A22" s="133" t="str">
        <f>IF(TAAL="Engels", Competenties!$D$7, Competenties!$A$7)</f>
        <v>Competentie 5: 
Professionele houding</v>
      </c>
      <c r="B22" s="134"/>
      <c r="C22" s="28">
        <f>'Feedback bedrijfsbegeleider'!I43</f>
        <v>0</v>
      </c>
      <c r="D22" s="28">
        <f>'Feedback docent'!K43</f>
        <v>0</v>
      </c>
      <c r="E22" s="79">
        <f t="shared" si="1"/>
        <v>0</v>
      </c>
      <c r="F22" s="29"/>
      <c r="G22" s="133" t="str">
        <f>IF(TAAL="Engels", Competenties!$D$7, Competenties!$A$7)</f>
        <v>Competentie 5: 
Professionele houding</v>
      </c>
      <c r="H22" s="134"/>
      <c r="I22" s="28">
        <f>'Feedback bedrijfsbegeleider'!I45</f>
        <v>0</v>
      </c>
      <c r="J22" s="28">
        <f>'Feedback docent'!K45</f>
        <v>0</v>
      </c>
      <c r="K22" s="79">
        <f t="shared" si="0"/>
        <v>0</v>
      </c>
    </row>
    <row r="23" spans="1:13" x14ac:dyDescent="0.2">
      <c r="A23" s="133" t="s">
        <v>82</v>
      </c>
      <c r="B23" s="134"/>
      <c r="C23" s="84"/>
      <c r="D23" s="30"/>
      <c r="E23" s="31"/>
      <c r="F23" s="20"/>
      <c r="G23" s="133" t="str">
        <f>A23</f>
        <v>Verdediging tijdens zitting</v>
      </c>
      <c r="H23" s="134"/>
      <c r="I23" s="84"/>
      <c r="J23" s="28"/>
      <c r="K23" s="31"/>
    </row>
    <row r="24" spans="1:13" ht="19" x14ac:dyDescent="0.2">
      <c r="A24" s="129" t="s">
        <v>83</v>
      </c>
      <c r="B24" s="130"/>
      <c r="C24" s="130"/>
      <c r="D24" s="130"/>
      <c r="E24" s="32">
        <f>ROUND(((SUM(E18:E23)+E19)/7)*2,0)/2</f>
        <v>0</v>
      </c>
      <c r="F24" s="33"/>
      <c r="G24" s="129" t="s">
        <v>84</v>
      </c>
      <c r="H24" s="130"/>
      <c r="I24" s="130"/>
      <c r="J24" s="130"/>
      <c r="K24" s="32">
        <f>ROUND(((SUM(K18:K23)+K19)/7)*2,0)/2</f>
        <v>0</v>
      </c>
      <c r="M24" s="1"/>
    </row>
    <row r="25" spans="1:13" ht="19" x14ac:dyDescent="0.2">
      <c r="A25" s="123" t="s">
        <v>65</v>
      </c>
      <c r="B25" s="124"/>
      <c r="C25" s="124"/>
      <c r="D25" s="124"/>
      <c r="E25" s="125"/>
      <c r="G25" s="123" t="s">
        <v>65</v>
      </c>
      <c r="H25" s="124"/>
      <c r="I25" s="124"/>
      <c r="J25" s="124"/>
      <c r="K25" s="125"/>
    </row>
    <row r="26" spans="1:13" ht="48.5" customHeight="1" x14ac:dyDescent="0.2">
      <c r="A26" s="115" t="s">
        <v>85</v>
      </c>
      <c r="B26" s="116"/>
      <c r="C26" s="116"/>
      <c r="D26" s="116"/>
      <c r="E26" s="117"/>
      <c r="G26" s="115" t="str">
        <f>A26</f>
        <v>Verplicht indien eindoordeel van een of meer onderdelen afwijkt van voorlopige beoordeling docent-begeleider, n.a.v. voorbespreking en/of presentatie&amp;verdediging door de student. 
Ook kunnen hier de belangrijkste commentaren van de 2de lezer en de extern gecommitteerde genoteerd worden.</v>
      </c>
      <c r="H26" s="116"/>
      <c r="I26" s="116"/>
      <c r="J26" s="116"/>
      <c r="K26" s="117"/>
    </row>
    <row r="27" spans="1:13" s="25" customFormat="1" ht="99.5" customHeight="1" x14ac:dyDescent="0.2">
      <c r="A27" s="126"/>
      <c r="B27" s="127"/>
      <c r="C27" s="127"/>
      <c r="D27" s="127"/>
      <c r="E27" s="128"/>
      <c r="F27" s="24"/>
      <c r="G27" s="126"/>
      <c r="H27" s="127"/>
      <c r="I27" s="127"/>
      <c r="J27" s="127"/>
      <c r="K27" s="128"/>
    </row>
    <row r="28" spans="1:13" ht="19" x14ac:dyDescent="0.2">
      <c r="A28" s="123" t="s">
        <v>67</v>
      </c>
      <c r="B28" s="124"/>
      <c r="C28" s="124"/>
      <c r="D28" s="124"/>
      <c r="E28" s="125"/>
      <c r="G28" s="123" t="s">
        <v>67</v>
      </c>
      <c r="H28" s="124"/>
      <c r="I28" s="124"/>
      <c r="J28" s="124"/>
      <c r="K28" s="125"/>
    </row>
    <row r="29" spans="1:13" x14ac:dyDescent="0.2">
      <c r="A29" s="115" t="s">
        <v>68</v>
      </c>
      <c r="B29" s="116"/>
      <c r="C29" s="116"/>
      <c r="D29" s="116"/>
      <c r="E29" s="117"/>
      <c r="G29" s="115" t="str">
        <f>A29</f>
        <v>Verplicht indien eindoordeel onvoldoende.</v>
      </c>
      <c r="H29" s="116"/>
      <c r="I29" s="116"/>
      <c r="J29" s="116"/>
      <c r="K29" s="117"/>
    </row>
    <row r="30" spans="1:13" ht="104.5" customHeight="1" thickBot="1" x14ac:dyDescent="0.25">
      <c r="A30" s="121"/>
      <c r="B30" s="101"/>
      <c r="C30" s="101"/>
      <c r="D30" s="101"/>
      <c r="E30" s="122"/>
      <c r="G30" s="121"/>
      <c r="H30" s="101"/>
      <c r="I30" s="101"/>
      <c r="J30" s="101"/>
      <c r="K30" s="122"/>
    </row>
    <row r="31" spans="1:13" ht="19" x14ac:dyDescent="0.2">
      <c r="A31" s="123" t="s">
        <v>86</v>
      </c>
      <c r="B31" s="124"/>
      <c r="C31" s="124"/>
      <c r="D31" s="124"/>
      <c r="E31" s="125"/>
      <c r="G31" s="123" t="s">
        <v>86</v>
      </c>
      <c r="H31" s="124"/>
      <c r="I31" s="124"/>
      <c r="J31" s="124"/>
      <c r="K31" s="125"/>
    </row>
    <row r="32" spans="1:13" x14ac:dyDescent="0.2">
      <c r="A32" s="115" t="s">
        <v>87</v>
      </c>
      <c r="B32" s="116"/>
      <c r="C32" s="116"/>
      <c r="D32" s="116"/>
      <c r="E32" s="117"/>
      <c r="G32" s="115" t="s">
        <v>87</v>
      </c>
      <c r="H32" s="116"/>
      <c r="I32" s="116"/>
      <c r="J32" s="116"/>
      <c r="K32" s="117"/>
    </row>
    <row r="33" spans="1:11" ht="41" customHeight="1" x14ac:dyDescent="0.2">
      <c r="A33" s="34" t="str">
        <f>Data!B14</f>
        <v>docent 2</v>
      </c>
      <c r="B33" s="118" t="str">
        <f>Data!B11</f>
        <v>begeleider bedrijf</v>
      </c>
      <c r="C33" s="119"/>
      <c r="D33" s="119"/>
      <c r="E33" s="120"/>
      <c r="G33" s="34" t="str">
        <f>Data!B14</f>
        <v>docent 2</v>
      </c>
      <c r="H33" s="118" t="str">
        <f>Data!B11</f>
        <v>begeleider bedrijf</v>
      </c>
      <c r="I33" s="119"/>
      <c r="J33" s="119"/>
      <c r="K33" s="120"/>
    </row>
    <row r="34" spans="1:11" ht="41" customHeight="1" x14ac:dyDescent="0.2">
      <c r="A34" s="34" t="str">
        <f>Data!B15</f>
        <v>externe</v>
      </c>
      <c r="B34" s="118" t="str">
        <f>Data!B6</f>
        <v>Student 1</v>
      </c>
      <c r="C34" s="119"/>
      <c r="D34" s="119"/>
      <c r="E34" s="120"/>
      <c r="G34" s="34" t="str">
        <f>Data!B15</f>
        <v>externe</v>
      </c>
      <c r="H34" s="118" t="str">
        <f>Data!B8</f>
        <v>Student 2</v>
      </c>
      <c r="I34" s="119"/>
      <c r="J34" s="119"/>
      <c r="K34" s="120"/>
    </row>
    <row r="35" spans="1:11" ht="41" customHeight="1" thickBot="1" x14ac:dyDescent="0.25">
      <c r="A35" s="37" t="str">
        <f>Data!B13</f>
        <v>docent 1</v>
      </c>
      <c r="B35" s="109"/>
      <c r="C35" s="110"/>
      <c r="D35" s="110"/>
      <c r="E35" s="111"/>
      <c r="G35" s="38" t="str">
        <f>Data!B13</f>
        <v>docent 1</v>
      </c>
      <c r="H35" s="112"/>
      <c r="I35" s="113"/>
      <c r="J35" s="113"/>
      <c r="K35" s="114"/>
    </row>
  </sheetData>
  <sheetProtection algorithmName="SHA-512" hashValue="K0lqWrY8nJTlnBA7E/Sd+3IbQFoYQOg4W/wjYyEyxvgvS54pB2p6dbRYInk5ILc+gllh1rCaDK0yqDnKnj/4dA==" saltValue="X74/OnICPVPQpLzzl6M+1Q==" spinCount="100000" sheet="1" objects="1" scenarios="1" formatCells="0" formatRows="0"/>
  <mergeCells count="70">
    <mergeCell ref="G20:H20"/>
    <mergeCell ref="G21:H21"/>
    <mergeCell ref="G22:H22"/>
    <mergeCell ref="G23:H23"/>
    <mergeCell ref="A1:D1"/>
    <mergeCell ref="G1:J1"/>
    <mergeCell ref="B2:D2"/>
    <mergeCell ref="H2:J2"/>
    <mergeCell ref="B3:D3"/>
    <mergeCell ref="H3:J3"/>
    <mergeCell ref="B4:D4"/>
    <mergeCell ref="H4:J4"/>
    <mergeCell ref="B5:D5"/>
    <mergeCell ref="H5:J5"/>
    <mergeCell ref="B6:D6"/>
    <mergeCell ref="H6:J6"/>
    <mergeCell ref="B7:D7"/>
    <mergeCell ref="H7:J7"/>
    <mergeCell ref="B8:D8"/>
    <mergeCell ref="H8:J8"/>
    <mergeCell ref="B9:D9"/>
    <mergeCell ref="H9:J9"/>
    <mergeCell ref="A10:E10"/>
    <mergeCell ref="G10:K10"/>
    <mergeCell ref="A11:E11"/>
    <mergeCell ref="G11:K11"/>
    <mergeCell ref="A12:E12"/>
    <mergeCell ref="G12:K12"/>
    <mergeCell ref="A13:E13"/>
    <mergeCell ref="G13:K13"/>
    <mergeCell ref="A14:E14"/>
    <mergeCell ref="G14:K14"/>
    <mergeCell ref="A15:E15"/>
    <mergeCell ref="G15:K15"/>
    <mergeCell ref="A16:E16"/>
    <mergeCell ref="G16:K16"/>
    <mergeCell ref="A24:D24"/>
    <mergeCell ref="G24:J24"/>
    <mergeCell ref="A25:E25"/>
    <mergeCell ref="G25:K25"/>
    <mergeCell ref="A17:B17"/>
    <mergeCell ref="A18:B18"/>
    <mergeCell ref="A19:B19"/>
    <mergeCell ref="A20:B20"/>
    <mergeCell ref="A21:B21"/>
    <mergeCell ref="A22:B22"/>
    <mergeCell ref="A23:B23"/>
    <mergeCell ref="G17:H17"/>
    <mergeCell ref="G18:H18"/>
    <mergeCell ref="G19:H19"/>
    <mergeCell ref="A26:E26"/>
    <mergeCell ref="G26:K26"/>
    <mergeCell ref="A27:E27"/>
    <mergeCell ref="G27:K27"/>
    <mergeCell ref="A28:E28"/>
    <mergeCell ref="G28:K28"/>
    <mergeCell ref="A29:E29"/>
    <mergeCell ref="G29:K29"/>
    <mergeCell ref="A30:E30"/>
    <mergeCell ref="G30:K30"/>
    <mergeCell ref="A31:E31"/>
    <mergeCell ref="G31:K31"/>
    <mergeCell ref="B35:E35"/>
    <mergeCell ref="H35:K35"/>
    <mergeCell ref="A32:E32"/>
    <mergeCell ref="G32:K32"/>
    <mergeCell ref="B33:E33"/>
    <mergeCell ref="H33:K33"/>
    <mergeCell ref="B34:E34"/>
    <mergeCell ref="H34:K34"/>
  </mergeCells>
  <conditionalFormatting sqref="C18:D22">
    <cfRule type="cellIs" dxfId="3" priority="2" operator="lessThan">
      <formula>5.5</formula>
    </cfRule>
  </conditionalFormatting>
  <conditionalFormatting sqref="E24">
    <cfRule type="cellIs" dxfId="2" priority="4" operator="equal">
      <formula>0</formula>
    </cfRule>
  </conditionalFormatting>
  <conditionalFormatting sqref="I18:J22">
    <cfRule type="cellIs" dxfId="1" priority="1" operator="lessThan">
      <formula>5.5</formula>
    </cfRule>
  </conditionalFormatting>
  <conditionalFormatting sqref="K24">
    <cfRule type="cellIs" dxfId="0" priority="3" operator="equal">
      <formula>0</formula>
    </cfRule>
  </conditionalFormatting>
  <pageMargins left="0.7" right="0.7" top="0.75" bottom="0.75" header="0.3" footer="0.3"/>
  <pageSetup paperSize="9" scale="72" fitToWidth="0" orientation="portrait" r:id="rId1"/>
  <ignoredErrors>
    <ignoredError sqref="E18:E22 K18:K22" unlockedFormula="1"/>
  </ignoredErrors>
</worksheet>
</file>

<file path=customXml/_rels/item1.xml.rels><?xml version="1.0" encoding="UTF-8" standalone="yes"?>
<Relationships xmlns="http://schemas.openxmlformats.org/package/2006/relationships"><Relationship Id="rId1" Type="http://schemas.openxmlformats.org/officeDocument/2006/relationships/customXmlProps" Target="itemProps1.xml"/></Relationships>
</file>

<file path=customXml/_rels/item2.xml.rels><?xml version="1.0" encoding="UTF-8" standalone="yes"?>
<Relationships xmlns="http://schemas.openxmlformats.org/package/2006/relationships"><Relationship Id="rId1" Type="http://schemas.openxmlformats.org/officeDocument/2006/relationships/customXmlProps" Target="itemProps2.xml"/></Relationships>
</file>

<file path=customXml/_rels/item3.xml.rels><?xml version="1.0" encoding="UTF-8" standalone="yes"?>
<Relationships xmlns="http://schemas.openxmlformats.org/package/2006/relationships"><Relationship Id="rId1" Type="http://schemas.openxmlformats.org/officeDocument/2006/relationships/customXmlProps" Target="itemProps3.xml"/></Relationships>
</file>

<file path=customXml/_rels/item4.xml.rels><?xml version="1.0" encoding="UTF-8" standalone="yes"?>
<Relationships xmlns="http://schemas.openxmlformats.org/package/2006/relationships"><Relationship Id="rId1" Type="http://schemas.openxmlformats.org/officeDocument/2006/relationships/customXmlProps" Target="itemProps4.xml"/></Relationships>
</file>

<file path=customXml/item1.xml><?xml version="1.0" encoding="utf-8"?>
<p:properties xmlns:p="http://schemas.microsoft.com/office/2006/metadata/properties" xmlns:xsi="http://www.w3.org/2001/XMLSchema-instance" xmlns:pc="http://schemas.microsoft.com/office/infopath/2007/PartnerControls">
  <documentManagement>
    <SharedWithUsers xmlns="a4036407-a927-4ab1-9a50-7e7b036fee54">
      <UserInfo>
        <DisplayName>Bart Mutsaers</DisplayName>
        <AccountId>27</AccountId>
        <AccountType/>
      </UserInfo>
      <UserInfo>
        <DisplayName>Erik Melsbach</DisplayName>
        <AccountId>41</AccountId>
        <AccountType/>
      </UserInfo>
      <UserInfo>
        <DisplayName>Luc Claessens</DisplayName>
        <AccountId>35</AccountId>
        <AccountType/>
      </UserInfo>
    </SharedWithUsers>
    <lcf76f155ced4ddcb4097134ff3c332f xmlns="9f7ff3f3-2e14-4601-9b8b-3859489abb34">
      <Terms xmlns="http://schemas.microsoft.com/office/infopath/2007/PartnerControls"/>
    </lcf76f155ced4ddcb4097134ff3c332f>
    <TaxCatchAll xmlns="a4036407-a927-4ab1-9a50-7e7b036fee54" xsi:nil="true"/>
  </documentManagement>
</p:properties>
</file>

<file path=customXml/item2.xml>��
</file>

<file path=customXml/item3.xml><?xml version="1.0" encoding="utf-8"?>
<?mso-contentType ?>
<FormTemplates xmlns="http://schemas.microsoft.com/sharepoint/v3/contenttype/forms">
  <Display>DocumentLibraryForm</Display>
  <Edit>DocumentLibraryForm</Edit>
  <New>DocumentLibraryForm</New>
</FormTemplates>
</file>

<file path=customXml/item4.xml><?xml version="1.0" encoding="utf-8"?>
<ct:contentTypeSchema xmlns:ct="http://schemas.microsoft.com/office/2006/metadata/contentType" xmlns:ma="http://schemas.microsoft.com/office/2006/metadata/properties/metaAttributes" ct:_="" ma:_="" ma:contentTypeName="Document" ma:contentTypeID="0x010100FDC7AD67E42DDA4ABA8ED286C1716EBB" ma:contentTypeVersion="18" ma:contentTypeDescription="Create a new document." ma:contentTypeScope="" ma:versionID="4da8247062b3443c42d123befc3b4bda">
  <xsd:schema xmlns:xsd="http://www.w3.org/2001/XMLSchema" xmlns:xs="http://www.w3.org/2001/XMLSchema" xmlns:p="http://schemas.microsoft.com/office/2006/metadata/properties" xmlns:ns2="9f7ff3f3-2e14-4601-9b8b-3859489abb34" xmlns:ns3="a4036407-a927-4ab1-9a50-7e7b036fee54" targetNamespace="http://schemas.microsoft.com/office/2006/metadata/properties" ma:root="true" ma:fieldsID="9cd0e4d8ac767172d300328b6b131e61" ns2:_="" ns3:_="">
    <xsd:import namespace="9f7ff3f3-2e14-4601-9b8b-3859489abb34"/>
    <xsd:import namespace="a4036407-a927-4ab1-9a50-7e7b036fee54"/>
    <xsd:element name="properties">
      <xsd:complexType>
        <xsd:sequence>
          <xsd:element name="documentManagement">
            <xsd:complexType>
              <xsd:all>
                <xsd:element ref="ns2:MediaServiceMetadata" minOccurs="0"/>
                <xsd:element ref="ns2:MediaServiceFastMetadata" minOccurs="0"/>
                <xsd:element ref="ns2:MediaServiceAutoTags" minOccurs="0"/>
                <xsd:element ref="ns2:MediaServiceGenerationTime" minOccurs="0"/>
                <xsd:element ref="ns2:MediaServiceEventHashCode" minOccurs="0"/>
                <xsd:element ref="ns2:MediaServiceDateTaken" minOccurs="0"/>
                <xsd:element ref="ns2:MediaServiceLocation" minOccurs="0"/>
                <xsd:element ref="ns2:MediaServiceOCR" minOccurs="0"/>
                <xsd:element ref="ns3:SharedWithUsers" minOccurs="0"/>
                <xsd:element ref="ns3:SharedWithDetails" minOccurs="0"/>
                <xsd:element ref="ns2:MediaServiceAutoKeyPoints" minOccurs="0"/>
                <xsd:element ref="ns2:MediaServiceKeyPoints" minOccurs="0"/>
                <xsd:element ref="ns2:MediaLengthInSeconds" minOccurs="0"/>
                <xsd:element ref="ns2:lcf76f155ced4ddcb4097134ff3c332f" minOccurs="0"/>
                <xsd:element ref="ns3:TaxCatchAll" minOccurs="0"/>
                <xsd:element ref="ns2:MediaServiceObjectDetectorVersions" minOccurs="0"/>
                <xsd:element ref="ns2:MediaServiceSearchProperties" minOccurs="0"/>
              </xsd:all>
            </xsd:complexType>
          </xsd:element>
        </xsd:sequence>
      </xsd:complexType>
    </xsd:element>
  </xsd:schema>
  <xsd:schema xmlns:xsd="http://www.w3.org/2001/XMLSchema" xmlns:xs="http://www.w3.org/2001/XMLSchema" xmlns:dms="http://schemas.microsoft.com/office/2006/documentManagement/types" xmlns:pc="http://schemas.microsoft.com/office/infopath/2007/PartnerControls" targetNamespace="9f7ff3f3-2e14-4601-9b8b-3859489abb34" elementFormDefault="qualified">
    <xsd:import namespace="http://schemas.microsoft.com/office/2006/documentManagement/types"/>
    <xsd:import namespace="http://schemas.microsoft.com/office/infopath/2007/PartnerControls"/>
    <xsd:element name="MediaServiceMetadata" ma:index="8" nillable="true" ma:displayName="MediaServiceMetadata" ma:hidden="true" ma:internalName="MediaServiceMetadata" ma:readOnly="true">
      <xsd:simpleType>
        <xsd:restriction base="dms:Note"/>
      </xsd:simpleType>
    </xsd:element>
    <xsd:element name="MediaServiceFastMetadata" ma:index="9" nillable="true" ma:displayName="MediaServiceFastMetadata" ma:hidden="true" ma:internalName="MediaServiceFastMetadata" ma:readOnly="true">
      <xsd:simpleType>
        <xsd:restriction base="dms:Note"/>
      </xsd:simpleType>
    </xsd:element>
    <xsd:element name="MediaServiceAutoTags" ma:index="10" nillable="true" ma:displayName="Tags" ma:internalName="MediaServiceAutoTags" ma:readOnly="true">
      <xsd:simpleType>
        <xsd:restriction base="dms:Text"/>
      </xsd:simpleType>
    </xsd:element>
    <xsd:element name="MediaServiceGenerationTime" ma:index="11" nillable="true" ma:displayName="MediaServiceGenerationTime" ma:hidden="true" ma:internalName="MediaServiceGenerationTime" ma:readOnly="true">
      <xsd:simpleType>
        <xsd:restriction base="dms:Text"/>
      </xsd:simpleType>
    </xsd:element>
    <xsd:element name="MediaServiceEventHashCode" ma:index="12" nillable="true" ma:displayName="MediaServiceEventHashCode" ma:hidden="true" ma:internalName="MediaServiceEventHashCode" ma:readOnly="true">
      <xsd:simpleType>
        <xsd:restriction base="dms:Text"/>
      </xsd:simpleType>
    </xsd:element>
    <xsd:element name="MediaServiceDateTaken" ma:index="13" nillable="true" ma:displayName="MediaServiceDateTaken" ma:hidden="true" ma:internalName="MediaServiceDateTaken" ma:readOnly="true">
      <xsd:simpleType>
        <xsd:restriction base="dms:Text"/>
      </xsd:simpleType>
    </xsd:element>
    <xsd:element name="MediaServiceLocation" ma:index="14" nillable="true" ma:displayName="Location" ma:internalName="MediaServiceLocation" ma:readOnly="true">
      <xsd:simpleType>
        <xsd:restriction base="dms:Text"/>
      </xsd:simpleType>
    </xsd:element>
    <xsd:element name="MediaServiceOCR" ma:index="15" nillable="true" ma:displayName="Extracted Text" ma:internalName="MediaServiceOCR" ma:readOnly="true">
      <xsd:simpleType>
        <xsd:restriction base="dms:Note">
          <xsd:maxLength value="255"/>
        </xsd:restriction>
      </xsd:simpleType>
    </xsd:element>
    <xsd:element name="MediaServiceAutoKeyPoints" ma:index="18" nillable="true" ma:displayName="MediaServiceAutoKeyPoints" ma:hidden="true" ma:internalName="MediaServiceAutoKeyPoints" ma:readOnly="true">
      <xsd:simpleType>
        <xsd:restriction base="dms:Note"/>
      </xsd:simpleType>
    </xsd:element>
    <xsd:element name="MediaServiceKeyPoints" ma:index="19" nillable="true" ma:displayName="KeyPoints" ma:internalName="MediaServiceKeyPoints" ma:readOnly="true">
      <xsd:simpleType>
        <xsd:restriction base="dms:Note">
          <xsd:maxLength value="255"/>
        </xsd:restriction>
      </xsd:simpleType>
    </xsd:element>
    <xsd:element name="MediaLengthInSeconds" ma:index="20" nillable="true" ma:displayName="Length (seconds)" ma:internalName="MediaLengthInSeconds" ma:readOnly="true">
      <xsd:simpleType>
        <xsd:restriction base="dms:Unknown"/>
      </xsd:simpleType>
    </xsd:element>
    <xsd:element name="lcf76f155ced4ddcb4097134ff3c332f" ma:index="22" nillable="true" ma:taxonomy="true" ma:internalName="lcf76f155ced4ddcb4097134ff3c332f" ma:taxonomyFieldName="MediaServiceImageTags" ma:displayName="Image Tags" ma:readOnly="false" ma:fieldId="{5cf76f15-5ced-4ddc-b409-7134ff3c332f}" ma:taxonomyMulti="true" ma:sspId="bbc12d8d-c97a-4a38-bef5-46718563464c" ma:termSetId="09814cd3-568e-fe90-9814-8d621ff8fb84" ma:anchorId="fba54fb3-c3e1-fe81-a776-ca4b69148c4d" ma:open="true" ma:isKeyword="false">
      <xsd:complexType>
        <xsd:sequence>
          <xsd:element ref="pc:Terms" minOccurs="0" maxOccurs="1"/>
        </xsd:sequence>
      </xsd:complexType>
    </xsd:element>
    <xsd:element name="MediaServiceObjectDetectorVersions" ma:index="24" nillable="true" ma:displayName="MediaServiceObjectDetectorVersions" ma:description="" ma:hidden="true" ma:indexed="true" ma:internalName="MediaServiceObjectDetectorVersions" ma:readOnly="true">
      <xsd:simpleType>
        <xsd:restriction base="dms:Text"/>
      </xsd:simpleType>
    </xsd:element>
    <xsd:element name="MediaServiceSearchProperties" ma:index="25" nillable="true" ma:displayName="MediaServiceSearchProperties" ma:hidden="true" ma:internalName="MediaServiceSearchProperties" ma:readOnly="true">
      <xsd:simpleType>
        <xsd:restriction base="dms:Note"/>
      </xsd:simpleType>
    </xsd:element>
  </xsd:schema>
  <xsd:schema xmlns:xsd="http://www.w3.org/2001/XMLSchema" xmlns:xs="http://www.w3.org/2001/XMLSchema" xmlns:dms="http://schemas.microsoft.com/office/2006/documentManagement/types" xmlns:pc="http://schemas.microsoft.com/office/infopath/2007/PartnerControls" targetNamespace="a4036407-a927-4ab1-9a50-7e7b036fee54" elementFormDefault="qualified">
    <xsd:import namespace="http://schemas.microsoft.com/office/2006/documentManagement/types"/>
    <xsd:import namespace="http://schemas.microsoft.com/office/infopath/2007/PartnerControls"/>
    <xsd:element name="SharedWithUsers" ma:index="16" nillable="true" ma:displayName="Shared With" ma:internalName="SharedWithUsers" ma:readOnly="true">
      <xsd:complexType>
        <xsd:complexContent>
          <xsd:extension base="dms:UserMulti">
            <xsd:sequence>
              <xsd:element name="UserInfo" minOccurs="0" maxOccurs="unbounded">
                <xsd:complexType>
                  <xsd:sequence>
                    <xsd:element name="DisplayName" type="xsd:string" minOccurs="0"/>
                    <xsd:element name="AccountId" type="dms:UserId" minOccurs="0" nillable="true"/>
                    <xsd:element name="AccountType" type="xsd:string" minOccurs="0"/>
                  </xsd:sequence>
                </xsd:complexType>
              </xsd:element>
            </xsd:sequence>
          </xsd:extension>
        </xsd:complexContent>
      </xsd:complexType>
    </xsd:element>
    <xsd:element name="SharedWithDetails" ma:index="17" nillable="true" ma:displayName="Shared With Details" ma:internalName="SharedWithDetails" ma:readOnly="true">
      <xsd:simpleType>
        <xsd:restriction base="dms:Note">
          <xsd:maxLength value="255"/>
        </xsd:restriction>
      </xsd:simpleType>
    </xsd:element>
    <xsd:element name="TaxCatchAll" ma:index="23" nillable="true" ma:displayName="Taxonomy Catch All Column" ma:hidden="true" ma:list="{e5c066d8-3bb0-4e7b-a0d3-0da44f5b65c1}" ma:internalName="TaxCatchAll" ma:showField="CatchAllData" ma:web="a4036407-a927-4ab1-9a50-7e7b036fee54">
      <xsd:complexType>
        <xsd:complexContent>
          <xsd:extension base="dms:MultiChoiceLookup">
            <xsd:sequence>
              <xsd:element name="Value" type="dms:Lookup" maxOccurs="unbounded" minOccurs="0" nillable="true"/>
            </xsd:sequence>
          </xsd:extension>
        </xsd:complexContent>
      </xsd:complexType>
    </xsd:element>
  </xsd:schema>
  <xsd:schema xmlns="http://schemas.openxmlformats.org/package/2006/metadata/core-properties" xmlns:xsd="http://www.w3.org/2001/XMLSchema" xmlns:xsi="http://www.w3.org/2001/XMLSchema-instance" xmlns:dc="http://purl.org/dc/elements/1.1/" xmlns:dcterms="http://purl.org/dc/terms/" xmlns:odoc="http://schemas.microsoft.com/internal/obd" targetNamespace="http://schemas.openxmlformats.org/package/2006/metadata/core-properties" elementFormDefault="qualified" attributeFormDefault="unqualified" blockDefault="#all">
    <xsd:import namespace="http://purl.org/dc/elements/1.1/" schemaLocation="http://dublincore.org/schemas/xmls/qdc/2003/04/02/dc.xsd"/>
    <xsd:import namespace="http://purl.org/dc/terms/" schemaLocation="http://dublincore.org/schemas/xmls/qdc/2003/04/02/dcterms.xsd"/>
    <xsd:element name="coreProperties" type="CT_coreProperties"/>
    <xsd:complexType name="CT_coreProperties">
      <xsd:all>
        <xsd:element ref="dc:creator" minOccurs="0" maxOccurs="1"/>
        <xsd:element ref="dcterms:created" minOccurs="0" maxOccurs="1"/>
        <xsd:element ref="dc:identifier" minOccurs="0" maxOccurs="1"/>
        <xsd:element name="contentType" minOccurs="0" maxOccurs="1" type="xsd:string" ma:index="0" ma:displayName="Content Type"/>
        <xsd:element ref="dc:title" minOccurs="0" maxOccurs="1" ma:index="4" ma:displayName="Title"/>
        <xsd:element ref="dc:subject" minOccurs="0" maxOccurs="1"/>
        <xsd:element ref="dc:description" minOccurs="0" maxOccurs="1"/>
        <xsd:element name="keywords" minOccurs="0" maxOccurs="1" type="xsd:string"/>
        <xsd:element ref="dc:language" minOccurs="0" maxOccurs="1"/>
        <xsd:element name="category" minOccurs="0" maxOccurs="1" type="xsd:string"/>
        <xsd:element name="version" minOccurs="0" maxOccurs="1" type="xsd:string"/>
        <xsd:element name="revision" minOccurs="0" maxOccurs="1" type="xsd:string">
          <xsd:annotation>
            <xsd:documentation>
                        This value indicates the number of saves or revisions. The application is responsible for updating this value after each revision.
                    </xsd:documentation>
          </xsd:annotation>
        </xsd:element>
        <xsd:element name="lastModifiedBy" minOccurs="0" maxOccurs="1" type="xsd:string"/>
        <xsd:element ref="dcterms:modified" minOccurs="0" maxOccurs="1"/>
        <xsd:element name="contentStatus" minOccurs="0" maxOccurs="1" type="xsd:string"/>
      </xsd:all>
    </xsd:complexType>
  </xsd:schema>
  <xs:schema xmlns:pc="http://schemas.microsoft.com/office/infopath/2007/PartnerControls" xmlns:xs="http://www.w3.org/2001/XMLSchema" targetNamespace="http://schemas.microsoft.com/office/infopath/2007/PartnerControls" elementFormDefault="qualified" attributeFormDefault="unqualified">
    <xs:element name="Person">
      <xs:complexType>
        <xs:sequence>
          <xs:element ref="pc:DisplayName" minOccurs="0"/>
          <xs:element ref="pc:AccountId" minOccurs="0"/>
          <xs:element ref="pc:AccountType" minOccurs="0"/>
        </xs:sequence>
      </xs:complexType>
    </xs:element>
    <xs:element name="DisplayName" type="xs:string"/>
    <xs:element name="AccountId" type="xs:string"/>
    <xs:element name="AccountType" type="xs:string"/>
    <xs:element name="BDCAssociatedEntity">
      <xs:complexType>
        <xs:sequence>
          <xs:element ref="pc:BDCEntity" minOccurs="0" maxOccurs="unbounded"/>
        </xs:sequence>
        <xs:attribute ref="pc:EntityNamespace"/>
        <xs:attribute ref="pc:EntityName"/>
        <xs:attribute ref="pc:SystemInstanceName"/>
        <xs:attribute ref="pc:AssociationName"/>
      </xs:complexType>
    </xs:element>
    <xs:attribute name="EntityNamespace" type="xs:string"/>
    <xs:attribute name="EntityName" type="xs:string"/>
    <xs:attribute name="SystemInstanceName" type="xs:string"/>
    <xs:attribute name="AssociationName" type="xs:string"/>
    <xs:element name="BDCEntity">
      <xs:complexType>
        <xs:sequence>
          <xs:element ref="pc:EntityDisplayName" minOccurs="0"/>
          <xs:element ref="pc:EntityInstanceReference" minOccurs="0"/>
          <xs:element ref="pc:EntityId1" minOccurs="0"/>
          <xs:element ref="pc:EntityId2" minOccurs="0"/>
          <xs:element ref="pc:EntityId3" minOccurs="0"/>
          <xs:element ref="pc:EntityId4" minOccurs="0"/>
          <xs:element ref="pc:EntityId5" minOccurs="0"/>
        </xs:sequence>
      </xs:complexType>
    </xs:element>
    <xs:element name="EntityDisplayName" type="xs:string"/>
    <xs:element name="EntityInstanceReference" type="xs:string"/>
    <xs:element name="EntityId1" type="xs:string"/>
    <xs:element name="EntityId2" type="xs:string"/>
    <xs:element name="EntityId3" type="xs:string"/>
    <xs:element name="EntityId4" type="xs:string"/>
    <xs:element name="EntityId5" type="xs:string"/>
    <xs:element name="Terms">
      <xs:complexType>
        <xs:sequence>
          <xs:element ref="pc:TermInfo" minOccurs="0" maxOccurs="unbounded"/>
        </xs:sequence>
      </xs:complexType>
    </xs:element>
    <xs:element name="TermInfo">
      <xs:complexType>
        <xs:sequence>
          <xs:element ref="pc:TermName" minOccurs="0"/>
          <xs:element ref="pc:TermId" minOccurs="0"/>
        </xs:sequence>
      </xs:complexType>
    </xs:element>
    <xs:element name="TermName" type="xs:string"/>
    <xs:element name="TermId" type="xs:string"/>
  </xs:schema>
</ct:contentTypeSchema>
</file>

<file path=customXml/itemProps1.xml><?xml version="1.0" encoding="utf-8"?>
<ds:datastoreItem xmlns:ds="http://schemas.openxmlformats.org/officeDocument/2006/customXml" ds:itemID="{2216B258-71EE-4F6E-BC1B-10C71C26F9CE}">
  <ds:schemaRefs>
    <ds:schemaRef ds:uri="http://purl.org/dc/elements/1.1/"/>
    <ds:schemaRef ds:uri="http://schemas.microsoft.com/office/2006/metadata/properties"/>
    <ds:schemaRef ds:uri="http://schemas.microsoft.com/office/2006/documentManagement/types"/>
    <ds:schemaRef ds:uri="http://purl.org/dc/terms/"/>
    <ds:schemaRef ds:uri="http://schemas.openxmlformats.org/package/2006/metadata/core-properties"/>
    <ds:schemaRef ds:uri="http://purl.org/dc/dcmitype/"/>
    <ds:schemaRef ds:uri="http://schemas.microsoft.com/office/infopath/2007/PartnerControls"/>
    <ds:schemaRef ds:uri="a4036407-a927-4ab1-9a50-7e7b036fee54"/>
    <ds:schemaRef ds:uri="9f7ff3f3-2e14-4601-9b8b-3859489abb34"/>
    <ds:schemaRef ds:uri="http://www.w3.org/XML/1998/namespace"/>
  </ds:schemaRefs>
</ds:datastoreItem>
</file>

<file path=customXml/itemProps2.xml><?xml version="1.0" encoding="utf-8"?>
<ds:datastoreItem xmlns:ds="http://schemas.openxmlformats.org/officeDocument/2006/customXml" ds:itemID="{BB3404E4-9267-467B-BFA2-86C56572AB85}">
  <ds:schemaRefs>
    <ds:schemaRef ds:uri="http://schemas.microsoft.com/DataMashup"/>
  </ds:schemaRefs>
</ds:datastoreItem>
</file>

<file path=customXml/itemProps3.xml><?xml version="1.0" encoding="utf-8"?>
<ds:datastoreItem xmlns:ds="http://schemas.openxmlformats.org/officeDocument/2006/customXml" ds:itemID="{68C6B014-9D42-4B9C-9F4C-E3D6C14E241C}">
  <ds:schemaRefs>
    <ds:schemaRef ds:uri="http://schemas.microsoft.com/sharepoint/v3/contenttype/forms"/>
  </ds:schemaRefs>
</ds:datastoreItem>
</file>

<file path=customXml/itemProps4.xml><?xml version="1.0" encoding="utf-8"?>
<ds:datastoreItem xmlns:ds="http://schemas.openxmlformats.org/officeDocument/2006/customXml" ds:itemID="{ADCAB40F-0640-46B0-82C7-9CDE250BFEDE}">
  <ds:schemaRefs>
    <ds:schemaRef ds:uri="http://schemas.microsoft.com/office/2006/metadata/contentType"/>
    <ds:schemaRef ds:uri="http://schemas.microsoft.com/office/2006/metadata/properties/metaAttributes"/>
    <ds:schemaRef ds:uri="http://www.w3.org/2001/XMLSchema"/>
    <ds:schemaRef ds:uri="http://schemas.microsoft.com/office/2006/metadata/properties"/>
    <ds:schemaRef ds:uri="9f7ff3f3-2e14-4601-9b8b-3859489abb34"/>
    <ds:schemaRef ds:uri="a4036407-a927-4ab1-9a50-7e7b036fee54"/>
    <ds:schemaRef ds:uri="http://schemas.microsoft.com/office/2006/documentManagement/types"/>
    <ds:schemaRef ds:uri="http://schemas.microsoft.com/office/infopath/2007/PartnerControls"/>
    <ds:schemaRef ds:uri="http://schemas.openxmlformats.org/package/2006/metadata/core-properties"/>
    <ds:schemaRef ds:uri="http://purl.org/dc/elements/1.1/"/>
    <ds:schemaRef ds:uri="http://purl.org/dc/terms/"/>
    <ds:schemaRef ds:uri="http://schemas.microsoft.com/internal/obd"/>
  </ds:schemaRefs>
</ds:datastoreItem>
</file>

<file path=docProps/app.xml><?xml version="1.0" encoding="utf-8"?>
<Properties xmlns="http://schemas.openxmlformats.org/officeDocument/2006/extended-properties" xmlns:vt="http://schemas.openxmlformats.org/officeDocument/2006/docPropsVTypes">
  <TotalTime>0</TotalTime>
  <Application>Microsoft Macintosh Excel</Application>
  <DocSecurity>0</DocSecurity>
  <ScaleCrop>false</ScaleCrop>
  <HeadingPairs>
    <vt:vector size="4" baseType="variant">
      <vt:variant>
        <vt:lpstr>Worksheets</vt:lpstr>
      </vt:variant>
      <vt:variant>
        <vt:i4>5</vt:i4>
      </vt:variant>
      <vt:variant>
        <vt:lpstr>Named Ranges</vt:lpstr>
      </vt:variant>
      <vt:variant>
        <vt:i4>1</vt:i4>
      </vt:variant>
    </vt:vector>
  </HeadingPairs>
  <TitlesOfParts>
    <vt:vector size="6" baseType="lpstr">
      <vt:lpstr>Data</vt:lpstr>
      <vt:lpstr>Competenties</vt:lpstr>
      <vt:lpstr>Feedback bedrijfsbegeleider</vt:lpstr>
      <vt:lpstr>Feedback docent</vt:lpstr>
      <vt:lpstr>Afstuderen Eind</vt:lpstr>
      <vt:lpstr>TAAL</vt:lpstr>
    </vt:vector>
  </TitlesOfParts>
  <Manager/>
  <Company>Avans</Company>
  <LinksUpToDate>false</LinksUpToDate>
  <SharedDoc>false</SharedDoc>
  <HyperlinkBase/>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title>Beoordelingsmodel Stage/Afstuderen Informatica</dc:title>
  <dc:subject/>
  <dc:creator>SAOV Informatica</dc:creator>
  <cp:keywords/>
  <dc:description/>
  <cp:lastModifiedBy>Stefan van Dockum</cp:lastModifiedBy>
  <cp:revision/>
  <cp:lastPrinted>2024-06-11T06:39:13Z</cp:lastPrinted>
  <dcterms:created xsi:type="dcterms:W3CDTF">2020-11-17T13:14:30Z</dcterms:created>
  <dcterms:modified xsi:type="dcterms:W3CDTF">2026-02-08T21:05:38Z</dcterms:modified>
  <cp:category/>
  <cp:contentStatus>Definitief juni2022</cp:contentStatus>
</cp:coreProperties>
</file>

<file path=docProps/custom.xml><?xml version="1.0" encoding="utf-8"?>
<Properties xmlns="http://schemas.openxmlformats.org/officeDocument/2006/custom-properties" xmlns:vt="http://schemas.openxmlformats.org/officeDocument/2006/docPropsVTypes">
  <property fmtid="{D5CDD505-2E9C-101B-9397-08002B2CF9AE}" pid="2" name="ContentTypeId">
    <vt:lpwstr>0x010100FDC7AD67E42DDA4ABA8ED286C1716EBB</vt:lpwstr>
  </property>
  <property fmtid="{D5CDD505-2E9C-101B-9397-08002B2CF9AE}" pid="3" name="MediaServiceImageTags">
    <vt:lpwstr/>
  </property>
</Properties>
</file>